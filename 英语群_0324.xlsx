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CF0645DFA072764BA128F588B3049224F2532CD1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C52" i="12"/>
  <c r="B52" i="12" s="1"/>
  <c r="E51" i="12"/>
  <c r="D51" i="12"/>
  <c r="C51" i="12"/>
  <c r="B51" i="12" s="1"/>
  <c r="E50" i="12"/>
  <c r="D50" i="12"/>
  <c r="C50" i="12"/>
  <c r="B50" i="12" s="1"/>
  <c r="E49" i="12"/>
  <c r="D49" i="12"/>
  <c r="C49" i="12"/>
  <c r="B49" i="12" s="1"/>
  <c r="E48" i="12"/>
  <c r="D48" i="12"/>
  <c r="C48" i="12"/>
  <c r="B48" i="12" s="1"/>
  <c r="E47" i="12"/>
  <c r="D47" i="12"/>
  <c r="C47" i="12"/>
  <c r="B47" i="12" s="1"/>
  <c r="E46" i="12"/>
  <c r="D46" i="12"/>
  <c r="C46" i="12"/>
  <c r="B46" i="12" s="1"/>
  <c r="E45" i="12"/>
  <c r="D45" i="12"/>
  <c r="C45" i="12"/>
  <c r="B45" i="12" s="1"/>
  <c r="E44" i="12"/>
  <c r="D44" i="12"/>
  <c r="C44" i="12"/>
  <c r="B44" i="12" s="1"/>
  <c r="E43" i="12"/>
  <c r="D43" i="12"/>
  <c r="C43" i="12"/>
  <c r="B43" i="12" s="1"/>
  <c r="E42" i="12"/>
  <c r="D42" i="12"/>
  <c r="C42" i="12"/>
  <c r="B42" i="12" s="1"/>
  <c r="E41" i="12"/>
  <c r="D41" i="12"/>
  <c r="C41" i="12"/>
  <c r="B41" i="12" s="1"/>
  <c r="E40" i="12"/>
  <c r="D40" i="12"/>
  <c r="C40" i="12"/>
  <c r="B40" i="12" s="1"/>
  <c r="E39" i="12"/>
  <c r="D39" i="12"/>
  <c r="C39" i="12"/>
  <c r="B39" i="12" s="1"/>
  <c r="E38" i="12"/>
  <c r="D38" i="12"/>
  <c r="C38" i="12"/>
  <c r="B38" i="12" s="1"/>
  <c r="E37" i="12"/>
  <c r="D37" i="12"/>
  <c r="C37" i="12"/>
  <c r="B37" i="12" s="1"/>
  <c r="E36" i="12"/>
  <c r="D36" i="12"/>
  <c r="C36" i="12"/>
  <c r="B36" i="12" s="1"/>
  <c r="E35" i="12"/>
  <c r="D35" i="12"/>
  <c r="C35" i="12"/>
  <c r="B35" i="12" s="1"/>
  <c r="E34" i="12"/>
  <c r="D34" i="12"/>
  <c r="C34" i="12"/>
  <c r="B34" i="12" s="1"/>
  <c r="E33" i="12"/>
  <c r="D33" i="12"/>
  <c r="C33" i="12"/>
  <c r="B33" i="12" s="1"/>
  <c r="E32" i="12"/>
  <c r="D32" i="12"/>
  <c r="C32" i="12"/>
  <c r="B32" i="12" s="1"/>
  <c r="E31" i="12"/>
  <c r="D31" i="12"/>
  <c r="C31" i="12"/>
  <c r="B31" i="12" s="1"/>
  <c r="E30" i="12"/>
  <c r="D30" i="12"/>
  <c r="C30" i="12"/>
  <c r="B30" i="12" s="1"/>
  <c r="E29" i="12"/>
  <c r="D29" i="12"/>
  <c r="C29" i="12"/>
  <c r="B29" i="12" s="1"/>
  <c r="E28" i="12"/>
  <c r="D28" i="12"/>
  <c r="C28" i="12"/>
  <c r="B28" i="12" s="1"/>
  <c r="E27" i="12"/>
  <c r="D27" i="12"/>
  <c r="C27" i="12"/>
  <c r="B27" i="12" s="1"/>
  <c r="E26" i="12"/>
  <c r="D26" i="12"/>
  <c r="C26" i="12"/>
  <c r="B26" i="12" s="1"/>
  <c r="E25" i="12"/>
  <c r="D25" i="12"/>
  <c r="C25" i="12"/>
  <c r="B25" i="12" s="1"/>
  <c r="E24" i="12"/>
  <c r="D24" i="12"/>
  <c r="C24" i="12"/>
  <c r="B24" i="12" s="1"/>
  <c r="E23" i="12"/>
  <c r="D23" i="12"/>
  <c r="C23" i="12"/>
  <c r="B23" i="12" s="1"/>
  <c r="E22" i="12"/>
  <c r="D22" i="12"/>
  <c r="C22" i="12"/>
  <c r="B22" i="12" s="1"/>
  <c r="E21" i="12"/>
  <c r="D21" i="12"/>
  <c r="C21" i="12"/>
  <c r="B21" i="12" s="1"/>
  <c r="E20" i="12"/>
  <c r="D20" i="12"/>
  <c r="C20" i="12"/>
  <c r="B20" i="12" s="1"/>
  <c r="E19" i="12"/>
  <c r="D19" i="12"/>
  <c r="C19" i="12"/>
  <c r="B19" i="12" s="1"/>
  <c r="E18" i="12"/>
  <c r="D18" i="12"/>
  <c r="C18" i="12"/>
  <c r="B18" i="12" s="1"/>
  <c r="E17" i="12"/>
  <c r="D17" i="12"/>
  <c r="C17" i="12"/>
  <c r="B17" i="12" s="1"/>
  <c r="E16" i="12"/>
  <c r="D16" i="12"/>
  <c r="C16" i="12"/>
  <c r="B16" i="12" s="1"/>
  <c r="E15" i="12"/>
  <c r="D15" i="12"/>
  <c r="C15" i="12"/>
  <c r="B15" i="12" s="1"/>
  <c r="E14" i="12"/>
  <c r="D14" i="12"/>
  <c r="C14" i="12"/>
  <c r="B14" i="12" s="1"/>
  <c r="E13" i="12"/>
  <c r="D13" i="12"/>
  <c r="C13" i="12"/>
  <c r="B13" i="12" s="1"/>
  <c r="E12" i="12"/>
  <c r="D12" i="12"/>
  <c r="C12" i="12"/>
  <c r="B12" i="12" s="1"/>
  <c r="E11" i="12"/>
  <c r="D11" i="12"/>
  <c r="C11" i="12"/>
  <c r="B11" i="12" s="1"/>
  <c r="E10" i="12"/>
  <c r="D10" i="12"/>
  <c r="C10" i="12"/>
  <c r="B10" i="12" s="1"/>
  <c r="E9" i="12"/>
  <c r="D9" i="12"/>
  <c r="C9" i="12"/>
  <c r="B9" i="12" s="1"/>
  <c r="E8" i="12"/>
  <c r="D8" i="12"/>
  <c r="C8" i="12"/>
  <c r="B8" i="12" s="1"/>
  <c r="E7" i="12"/>
  <c r="D7" i="12"/>
  <c r="C7" i="12"/>
  <c r="B7" i="12" s="1"/>
  <c r="E6" i="12"/>
  <c r="D6" i="12"/>
  <c r="C6" i="12"/>
  <c r="B6" i="12" s="1"/>
  <c r="E5" i="12"/>
  <c r="D5" i="12"/>
  <c r="C5" i="12"/>
  <c r="B5" i="12" s="1"/>
  <c r="E4" i="12"/>
  <c r="D4" i="12"/>
  <c r="C4" i="12"/>
  <c r="B4" i="12" s="1"/>
  <c r="E3" i="12"/>
  <c r="E1" i="12" s="1"/>
  <c r="D3" i="12"/>
  <c r="D1" i="12" s="1"/>
  <c r="C3" i="12"/>
  <c r="B3" i="12" s="1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D5" i="11"/>
  <c r="C5" i="11"/>
  <c r="B5" i="11"/>
  <c r="E4" i="11"/>
  <c r="E1" i="11" s="1"/>
  <c r="D4" i="11"/>
  <c r="D1" i="11" s="1"/>
  <c r="C4" i="11"/>
  <c r="B4" i="11"/>
  <c r="E3" i="11"/>
  <c r="D3" i="11"/>
  <c r="C3" i="11"/>
  <c r="B3" i="11"/>
  <c r="B1" i="11" s="1"/>
  <c r="C1" i="1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D6" i="10"/>
  <c r="C6" i="10"/>
  <c r="B6" i="10"/>
  <c r="E5" i="10"/>
  <c r="D5" i="10"/>
  <c r="C5" i="10"/>
  <c r="C1" i="10" s="1"/>
  <c r="B5" i="10"/>
  <c r="E4" i="10"/>
  <c r="D4" i="10"/>
  <c r="C4" i="10"/>
  <c r="B4" i="10"/>
  <c r="B1" i="10" s="1"/>
  <c r="E3" i="10"/>
  <c r="E1" i="10" s="1"/>
  <c r="D3" i="10"/>
  <c r="D1" i="10" s="1"/>
  <c r="C3" i="10"/>
  <c r="B3" i="10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B6" i="9"/>
  <c r="E5" i="9"/>
  <c r="D5" i="9"/>
  <c r="C5" i="9"/>
  <c r="B5" i="9"/>
  <c r="E4" i="9"/>
  <c r="D4" i="9"/>
  <c r="C4" i="9"/>
  <c r="B4" i="9"/>
  <c r="E3" i="9"/>
  <c r="D3" i="9"/>
  <c r="C3" i="9"/>
  <c r="C1" i="9" s="1"/>
  <c r="B3" i="9"/>
  <c r="B1" i="9" s="1"/>
  <c r="E1" i="9"/>
  <c r="D1" i="9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E5" i="8"/>
  <c r="D5" i="8"/>
  <c r="C5" i="8"/>
  <c r="B5" i="8"/>
  <c r="E4" i="8"/>
  <c r="D4" i="8"/>
  <c r="C4" i="8"/>
  <c r="B4" i="8"/>
  <c r="E3" i="8"/>
  <c r="E1" i="8" s="1"/>
  <c r="D3" i="8"/>
  <c r="D1" i="8" s="1"/>
  <c r="C3" i="8"/>
  <c r="B3" i="8"/>
  <c r="C1" i="8"/>
  <c r="B1" i="8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D5" i="7"/>
  <c r="C5" i="7"/>
  <c r="C1" i="7" s="1"/>
  <c r="B5" i="7"/>
  <c r="E4" i="7"/>
  <c r="E1" i="7" s="1"/>
  <c r="D4" i="7"/>
  <c r="D1" i="7" s="1"/>
  <c r="C4" i="7"/>
  <c r="B4" i="7"/>
  <c r="E3" i="7"/>
  <c r="D3" i="7"/>
  <c r="C3" i="7"/>
  <c r="B3" i="7"/>
  <c r="B1" i="7" s="1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B6" i="6"/>
  <c r="E5" i="6"/>
  <c r="D5" i="6"/>
  <c r="C5" i="6"/>
  <c r="B5" i="6"/>
  <c r="E4" i="6"/>
  <c r="D4" i="6"/>
  <c r="C4" i="6"/>
  <c r="C1" i="6" s="1"/>
  <c r="B4" i="6"/>
  <c r="B1" i="6" s="1"/>
  <c r="E3" i="6"/>
  <c r="E1" i="6" s="1"/>
  <c r="D3" i="6"/>
  <c r="D1" i="6" s="1"/>
  <c r="C3" i="6"/>
  <c r="B3" i="6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E5" i="5"/>
  <c r="D5" i="5"/>
  <c r="C5" i="5"/>
  <c r="B5" i="5"/>
  <c r="E4" i="5"/>
  <c r="E1" i="5" s="1"/>
  <c r="D4" i="5"/>
  <c r="C4" i="5"/>
  <c r="B4" i="5"/>
  <c r="E3" i="5"/>
  <c r="D3" i="5"/>
  <c r="C3" i="5"/>
  <c r="C1" i="5" s="1"/>
  <c r="B3" i="5"/>
  <c r="B1" i="5" s="1"/>
  <c r="D1" i="5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B1" i="4" s="1"/>
  <c r="E5" i="4"/>
  <c r="D5" i="4"/>
  <c r="C5" i="4"/>
  <c r="B5" i="4"/>
  <c r="E4" i="4"/>
  <c r="D4" i="4"/>
  <c r="C4" i="4"/>
  <c r="B4" i="4"/>
  <c r="E3" i="4"/>
  <c r="E1" i="4" s="1"/>
  <c r="D3" i="4"/>
  <c r="D1" i="4" s="1"/>
  <c r="C3" i="4"/>
  <c r="C1" i="4" s="1"/>
  <c r="B3" i="4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E1" i="3" s="1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D5" i="3"/>
  <c r="C5" i="3"/>
  <c r="B5" i="3"/>
  <c r="E4" i="3"/>
  <c r="D4" i="3"/>
  <c r="D1" i="3" s="1"/>
  <c r="C4" i="3"/>
  <c r="B4" i="3"/>
  <c r="E3" i="3"/>
  <c r="D3" i="3"/>
  <c r="C3" i="3"/>
  <c r="B3" i="3"/>
  <c r="B1" i="3" s="1"/>
  <c r="C1" i="3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E5" i="2"/>
  <c r="D5" i="2"/>
  <c r="C5" i="2"/>
  <c r="B5" i="2"/>
  <c r="E4" i="2"/>
  <c r="D4" i="2"/>
  <c r="C4" i="2"/>
  <c r="B4" i="2"/>
  <c r="B1" i="2" s="1"/>
  <c r="E3" i="2"/>
  <c r="E1" i="2" s="1"/>
  <c r="D3" i="2"/>
  <c r="D1" i="2" s="1"/>
  <c r="C3" i="2"/>
  <c r="C1" i="2" s="1"/>
  <c r="B3" i="2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D1" i="1" s="1"/>
  <c r="C6" i="1"/>
  <c r="B6" i="1"/>
  <c r="E5" i="1"/>
  <c r="D5" i="1"/>
  <c r="C5" i="1"/>
  <c r="B5" i="1"/>
  <c r="E4" i="1"/>
  <c r="D4" i="1"/>
  <c r="C4" i="1"/>
  <c r="C1" i="1" s="1"/>
  <c r="B4" i="1"/>
  <c r="E3" i="1"/>
  <c r="D3" i="1"/>
  <c r="C3" i="1"/>
  <c r="B3" i="1"/>
  <c r="B1" i="1" s="1"/>
  <c r="E1" i="1"/>
  <c r="B1" i="12" l="1"/>
  <c r="C1" i="12"/>
</calcChain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<sst xmlns="http://schemas.openxmlformats.org/spreadsheetml/2006/main" count="155" uniqueCount="17">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</sst>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等线"/>
      <family val="2"/>
      <charset val="134"/>
      <scheme val="minor"/>
    </font>
    <font>
      <b/>
      <sz val="10"/>
      <name val="SimSun"/>
      <family val="3"/>
      <charset val="134"/>
    </font>
    <font>
      <b/>
      <sz val="18"/>
      <color rgb="FFDE3C36"/>
      <name val="Microsoft YaHei"/>
      <family val="2"/>
      <charset val="134"/>
    </font>
    <font>
      <sz val="10"/>
      <name val="SimSun"/>
      <charset val="134"/>
    </font>
    <font>
      <sz val="11"/>
      <name val="等线"/>
      <family val="3"/>
      <charset val="134"/>
    </font>
    <font>
      <sz val="10"/>
      <color rgb="FF000000"/>
      <name val="SimSun"/>
      <charset val="134"/>
    </font>
    <font>
      <sz val="10"/>
      <color rgb="FF53AD5B"/>
      <name val="SimSun"/>
      <charset val="134"/>
    </font>
    <font>
      <sz val="11"/>
      <color rgb="FF53AD5B"/>
      <name val="等线"/>
      <family val="3"/>
      <charset val="134"/>
    </font>
    <font>
      <sz val="12"/>
      <color rgb="FF000000"/>
      <name val="等线"/>
      <family val="3"/>
      <charset val="134"/>
    </font>
    <font>
      <sz val="12"/>
      <color theme="1"/>
      <name val="等线"/>
      <family val="2"/>
      <charset val="134"/>
      <scheme val="minor"/>
    </font>
    <font>
      <sz val="12"/>
      <color rgb="FF53AD5B"/>
      <name val="等线"/>
      <family val="3"/>
      <charset val="134"/>
    </font>
    <font>
      <sz val="9"/>
      <name val="等线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C7FF"/>
      </patternFill>
    </fill>
    <fill>
      <patternFill patternType="solid">
        <fgColor rgb="FF99DDFF"/>
      </patternFill>
    </fill>
    <fill>
      <patternFill patternType="none"/>
    </fill>
    <fill>
      <patternFill patternType="none">
        <fgColor auto="1"/>
        <bgColor auto="1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4" borderId="5">
      <alignment vertical="center"/>
    </xf>
  </cellStyleXfs>
  <cellXfs count="34">
    <xf numFmtId="0" fontId="0" fillId="0" borderId="0" xfId="0" applyFill="1" applyBorder="1">
      <alignment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2" fillId="0" borderId="1" xfId="0" applyFont="1" applyFill="1" applyBorder="1">
      <alignment vertical="center"/>
    </xf>
    <xf numFmtId="0" fontId="3" fillId="0" borderId="1" xfId="0" applyFont="1" applyFill="1" applyBorder="1">
      <alignment vertical="center"/>
    </xf>
    <xf numFmtId="0" fontId="3" fillId="4" borderId="1" xfId="0" applyFont="1" applyBorder="1">
      <alignment vertical="center"/>
    </xf>
    <xf numFmtId="0" fontId="3" fillId="2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4" fillId="0" borderId="5" xfId="0" applyFont="1" applyFill="1" applyAlignment="1">
      <alignment vertical="center" wrapText="1"/>
    </xf>
    <xf numFmtId="0" fontId="3" fillId="5" borderId="1" xfId="0" applyFont="1" applyFill="1" applyBorder="1">
      <alignment vertical="center"/>
    </xf>
    <xf numFmtId="0" fontId="3" fillId="5" borderId="2" xfId="0" applyFont="1" applyFill="1" applyBorder="1">
      <alignment vertical="center"/>
    </xf>
    <xf numFmtId="0" fontId="3" fillId="5" borderId="3" xfId="0" applyFont="1" applyFill="1" applyBorder="1">
      <alignment vertical="center"/>
    </xf>
    <xf numFmtId="0" fontId="3" fillId="5" borderId="4" xfId="0" applyFont="1" applyFill="1" applyBorder="1">
      <alignment vertical="center"/>
    </xf>
    <xf numFmtId="0" fontId="5" fillId="2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4" fillId="5" borderId="5" xfId="0" applyFont="1" applyFill="1">
      <alignment vertical="center"/>
    </xf>
    <xf numFmtId="0" fontId="3" fillId="0" borderId="2" xfId="0" applyFont="1" applyFill="1" applyBorder="1">
      <alignment vertical="center"/>
    </xf>
    <xf numFmtId="0" fontId="3" fillId="0" borderId="3" xfId="0" applyFont="1" applyFill="1" applyBorder="1">
      <alignment vertical="center"/>
    </xf>
    <xf numFmtId="0" fontId="3" fillId="0" borderId="4" xfId="0" applyFont="1" applyFill="1" applyBorder="1">
      <alignment vertical="center"/>
    </xf>
    <xf numFmtId="0" fontId="5" fillId="0" borderId="3" xfId="0" applyFont="1" applyFill="1" applyBorder="1">
      <alignment vertical="center"/>
    </xf>
    <xf numFmtId="0" fontId="5" fillId="0" borderId="4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0" borderId="5" xfId="0" applyFont="1" applyFill="1" applyAlignment="1">
      <alignment vertical="center" wrapText="1"/>
    </xf>
    <xf numFmtId="0" fontId="6" fillId="0" borderId="3" xfId="0" applyFont="1" applyFill="1" applyBorder="1">
      <alignment vertical="center"/>
    </xf>
    <xf numFmtId="0" fontId="6" fillId="0" borderId="4" xfId="0" applyFont="1" applyFill="1" applyBorder="1">
      <alignment vertical="center"/>
    </xf>
    <xf numFmtId="0" fontId="1" fillId="0" borderId="1" xfId="0" applyFont="1" applyFill="1" applyBorder="1">
      <alignment vertical="center"/>
    </xf>
    <xf numFmtId="0" fontId="4" fillId="0" borderId="5" xfId="0" applyFont="1" applyFill="1">
      <alignment vertical="center"/>
    </xf>
    <xf numFmtId="0" fontId="5" fillId="0" borderId="1" xfId="0" applyFont="1" applyFill="1" applyBorder="1">
      <alignment vertical="center"/>
    </xf>
    <xf numFmtId="0" fontId="4" fillId="5" borderId="5" xfId="0" applyFont="1" applyFill="1" applyAlignment="1">
      <alignment vertical="center" wrapText="1"/>
    </xf>
    <xf numFmtId="0" fontId="8" fillId="4" borderId="5" xfId="0" applyFont="1">
      <alignment vertical="center"/>
    </xf>
    <xf numFmtId="0" fontId="9" fillId="4" borderId="5" xfId="0" applyFont="1">
      <alignment vertical="center"/>
    </xf>
    <xf numFmtId="0" fontId="10" fillId="4" borderId="5" xfId="0" applyFont="1">
      <alignment vertical="center"/>
    </xf>
    <xf numFmtId="0" fontId="5" fillId="0" borderId="4" xfId="0" applyFont="1" applyFill="1" applyBorder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zoomScale="85" zoomScaleNormal="85" workbookViewId="0">
      <pane ySplit="2" topLeftCell="A3" activePane="bottomLeft" state="frozen"/>
      <selection pane="bottomLeft" activeCell="J18" sqref="J18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26"/>
      <c r="B1" s="26">
        <f>SUM(B3:B1001)</f>
        <v>616</v>
      </c>
      <c r="C1" s="26">
        <f>SUM(C3:C1001)</f>
        <v>217</v>
      </c>
      <c r="D1" s="26">
        <f>SUM(D3:D1001)</f>
        <v>188</v>
      </c>
      <c r="E1" s="26">
        <f>SUM(E3:E1001)</f>
        <v>211</v>
      </c>
      <c r="F1" s="3" t="s">
        <v>0</v>
      </c>
      <c r="G1" s="4"/>
      <c r="H1" s="4"/>
      <c r="I1" s="4"/>
      <c r="J1" s="4"/>
      <c r="K1" s="4"/>
      <c r="L1" s="4"/>
    </row>
    <row r="2" spans="1:12" ht="18" customHeight="1">
      <c r="A2" s="26" t="s">
        <v>1</v>
      </c>
      <c r="B2" s="26" t="s">
        <v>2</v>
      </c>
      <c r="C2" s="26" t="s">
        <v>3</v>
      </c>
      <c r="D2" s="26" t="s">
        <v>4</v>
      </c>
      <c r="E2" s="26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4">
        <v>29101</v>
      </c>
      <c r="B3" s="4">
        <f t="shared" ref="B3:B34" si="0">IF(AND(F3=0,G3=0,H3=0),0,1)+I3</f>
        <v>1</v>
      </c>
      <c r="C3" s="4">
        <f t="shared" ref="C3:C34" si="1">F3+J3</f>
        <v>0</v>
      </c>
      <c r="D3" s="4">
        <f t="shared" ref="D3:D34" si="2">G3+K3</f>
        <v>0</v>
      </c>
      <c r="E3" s="4">
        <f t="shared" ref="E3:E34" si="3">H3+L3</f>
        <v>1</v>
      </c>
      <c r="F3" s="27">
        <v>0</v>
      </c>
      <c r="G3" s="27">
        <v>0</v>
      </c>
      <c r="H3" s="27">
        <v>0</v>
      </c>
      <c r="I3" s="33">
        <v>1</v>
      </c>
      <c r="J3" s="20">
        <v>0</v>
      </c>
      <c r="K3" s="20">
        <v>0</v>
      </c>
      <c r="L3" s="20">
        <v>1</v>
      </c>
    </row>
    <row r="4" spans="1:12" ht="18" customHeight="1">
      <c r="A4" s="4">
        <v>29102</v>
      </c>
      <c r="B4" s="4">
        <f t="shared" si="0"/>
        <v>23</v>
      </c>
      <c r="C4" s="4">
        <f t="shared" si="1"/>
        <v>7</v>
      </c>
      <c r="D4" s="4">
        <f t="shared" si="2"/>
        <v>6</v>
      </c>
      <c r="E4" s="4">
        <f t="shared" si="3"/>
        <v>10</v>
      </c>
      <c r="F4" s="27">
        <v>1</v>
      </c>
      <c r="G4" s="27">
        <v>0</v>
      </c>
      <c r="H4" s="27">
        <v>0</v>
      </c>
      <c r="I4" s="33">
        <v>22</v>
      </c>
      <c r="J4" s="20">
        <v>6</v>
      </c>
      <c r="K4" s="20">
        <v>6</v>
      </c>
      <c r="L4" s="20">
        <v>10</v>
      </c>
    </row>
    <row r="5" spans="1:12" ht="18" customHeight="1">
      <c r="A5" s="4">
        <v>29103</v>
      </c>
      <c r="B5" s="4">
        <f t="shared" si="0"/>
        <v>14</v>
      </c>
      <c r="C5" s="4">
        <f t="shared" si="1"/>
        <v>8</v>
      </c>
      <c r="D5" s="4">
        <f t="shared" si="2"/>
        <v>2</v>
      </c>
      <c r="E5" s="4">
        <f t="shared" si="3"/>
        <v>4</v>
      </c>
      <c r="F5" s="27">
        <v>0</v>
      </c>
      <c r="G5" s="27">
        <v>1</v>
      </c>
      <c r="H5" s="27">
        <v>0</v>
      </c>
      <c r="I5" s="33">
        <v>13</v>
      </c>
      <c r="J5" s="20">
        <v>8</v>
      </c>
      <c r="K5" s="20">
        <v>1</v>
      </c>
      <c r="L5" s="20">
        <v>4</v>
      </c>
    </row>
    <row r="6" spans="1:12" ht="18" customHeight="1">
      <c r="A6" s="4">
        <v>29104</v>
      </c>
      <c r="B6" s="4">
        <f t="shared" si="0"/>
        <v>20</v>
      </c>
      <c r="C6" s="4">
        <f t="shared" si="1"/>
        <v>8</v>
      </c>
      <c r="D6" s="4">
        <f t="shared" si="2"/>
        <v>4</v>
      </c>
      <c r="E6" s="4">
        <f t="shared" si="3"/>
        <v>8</v>
      </c>
      <c r="F6" s="27">
        <v>0</v>
      </c>
      <c r="G6" s="27">
        <v>1</v>
      </c>
      <c r="H6" s="27">
        <v>0</v>
      </c>
      <c r="I6" s="33">
        <v>19</v>
      </c>
      <c r="J6" s="20">
        <v>8</v>
      </c>
      <c r="K6" s="20">
        <v>3</v>
      </c>
      <c r="L6" s="20">
        <v>8</v>
      </c>
    </row>
    <row r="7" spans="1:12" ht="18" customHeight="1">
      <c r="A7" s="4">
        <v>29105</v>
      </c>
      <c r="B7" s="4">
        <f t="shared" si="0"/>
        <v>19</v>
      </c>
      <c r="C7" s="4">
        <f t="shared" si="1"/>
        <v>5</v>
      </c>
      <c r="D7" s="4">
        <f t="shared" si="2"/>
        <v>6</v>
      </c>
      <c r="E7" s="4">
        <f t="shared" si="3"/>
        <v>8</v>
      </c>
      <c r="F7" s="27">
        <v>0</v>
      </c>
      <c r="G7" s="27">
        <v>0</v>
      </c>
      <c r="H7" s="27">
        <v>0</v>
      </c>
      <c r="I7" s="33">
        <v>19</v>
      </c>
      <c r="J7" s="20">
        <v>5</v>
      </c>
      <c r="K7" s="20">
        <v>6</v>
      </c>
      <c r="L7" s="20">
        <v>8</v>
      </c>
    </row>
    <row r="8" spans="1:12" ht="18" customHeight="1">
      <c r="A8" s="4">
        <v>29106</v>
      </c>
      <c r="B8" s="4">
        <f t="shared" si="0"/>
        <v>0</v>
      </c>
      <c r="C8" s="4">
        <f t="shared" si="1"/>
        <v>0</v>
      </c>
      <c r="D8" s="4">
        <f t="shared" si="2"/>
        <v>0</v>
      </c>
      <c r="E8" s="4">
        <f t="shared" si="3"/>
        <v>0</v>
      </c>
      <c r="F8" s="27">
        <v>0</v>
      </c>
      <c r="G8" s="27">
        <v>0</v>
      </c>
      <c r="H8" s="27">
        <v>0</v>
      </c>
      <c r="I8" s="33">
        <v>0</v>
      </c>
      <c r="J8" s="20">
        <v>0</v>
      </c>
      <c r="K8" s="20">
        <v>0</v>
      </c>
      <c r="L8" s="20">
        <v>0</v>
      </c>
    </row>
    <row r="9" spans="1:12" ht="18" customHeight="1">
      <c r="A9" s="4">
        <v>29107</v>
      </c>
      <c r="B9" s="4">
        <f t="shared" si="0"/>
        <v>19</v>
      </c>
      <c r="C9" s="4">
        <f t="shared" si="1"/>
        <v>9</v>
      </c>
      <c r="D9" s="4">
        <f t="shared" si="2"/>
        <v>7</v>
      </c>
      <c r="E9" s="4">
        <f t="shared" si="3"/>
        <v>3</v>
      </c>
      <c r="F9" s="27">
        <v>1</v>
      </c>
      <c r="G9" s="27">
        <v>0</v>
      </c>
      <c r="H9" s="27">
        <v>0</v>
      </c>
      <c r="I9" s="33">
        <v>18</v>
      </c>
      <c r="J9" s="20">
        <v>8</v>
      </c>
      <c r="K9" s="20">
        <v>7</v>
      </c>
      <c r="L9" s="20">
        <v>3</v>
      </c>
    </row>
    <row r="10" spans="1:12" ht="18" customHeight="1">
      <c r="A10" s="4">
        <v>29108</v>
      </c>
      <c r="B10" s="4">
        <f t="shared" si="0"/>
        <v>14</v>
      </c>
      <c r="C10" s="4">
        <f t="shared" si="1"/>
        <v>4</v>
      </c>
      <c r="D10" s="4">
        <f t="shared" si="2"/>
        <v>5</v>
      </c>
      <c r="E10" s="4">
        <f t="shared" si="3"/>
        <v>5</v>
      </c>
      <c r="F10" s="27">
        <v>0</v>
      </c>
      <c r="G10" s="27">
        <v>1</v>
      </c>
      <c r="H10" s="27">
        <v>0</v>
      </c>
      <c r="I10" s="33">
        <v>13</v>
      </c>
      <c r="J10" s="20">
        <v>4</v>
      </c>
      <c r="K10" s="20">
        <v>4</v>
      </c>
      <c r="L10" s="20">
        <v>5</v>
      </c>
    </row>
    <row r="11" spans="1:12" ht="18" customHeight="1">
      <c r="A11" s="4">
        <v>29109</v>
      </c>
      <c r="B11" s="4">
        <f t="shared" si="0"/>
        <v>0</v>
      </c>
      <c r="C11" s="4">
        <f t="shared" si="1"/>
        <v>0</v>
      </c>
      <c r="D11" s="4">
        <f t="shared" si="2"/>
        <v>0</v>
      </c>
      <c r="E11" s="4">
        <f t="shared" si="3"/>
        <v>0</v>
      </c>
      <c r="F11" s="27">
        <v>0</v>
      </c>
      <c r="G11" s="27">
        <v>0</v>
      </c>
      <c r="H11" s="27">
        <v>0</v>
      </c>
      <c r="I11" s="33">
        <v>0</v>
      </c>
      <c r="J11" s="20">
        <v>0</v>
      </c>
      <c r="K11" s="20">
        <v>0</v>
      </c>
      <c r="L11" s="20">
        <v>0</v>
      </c>
    </row>
    <row r="12" spans="1:12" ht="18" customHeight="1">
      <c r="A12" s="4">
        <v>29110</v>
      </c>
      <c r="B12" s="4">
        <f t="shared" si="0"/>
        <v>0</v>
      </c>
      <c r="C12" s="4">
        <f t="shared" si="1"/>
        <v>0</v>
      </c>
      <c r="D12" s="4">
        <f t="shared" si="2"/>
        <v>0</v>
      </c>
      <c r="E12" s="4">
        <f t="shared" si="3"/>
        <v>0</v>
      </c>
      <c r="F12" s="27">
        <v>0</v>
      </c>
      <c r="G12" s="27">
        <v>0</v>
      </c>
      <c r="H12" s="27">
        <v>0</v>
      </c>
      <c r="I12" s="33">
        <v>0</v>
      </c>
      <c r="J12" s="20">
        <v>0</v>
      </c>
      <c r="K12" s="20">
        <v>0</v>
      </c>
      <c r="L12" s="20">
        <v>0</v>
      </c>
    </row>
    <row r="13" spans="1:12" ht="18" customHeight="1">
      <c r="A13" s="4">
        <v>29111</v>
      </c>
      <c r="B13" s="4">
        <f t="shared" si="0"/>
        <v>0</v>
      </c>
      <c r="C13" s="4">
        <f t="shared" si="1"/>
        <v>0</v>
      </c>
      <c r="D13" s="4">
        <f t="shared" si="2"/>
        <v>0</v>
      </c>
      <c r="E13" s="4">
        <f t="shared" si="3"/>
        <v>0</v>
      </c>
      <c r="F13" s="27">
        <v>0</v>
      </c>
      <c r="G13" s="27">
        <v>0</v>
      </c>
      <c r="H13" s="27">
        <v>0</v>
      </c>
      <c r="I13" s="33">
        <v>0</v>
      </c>
      <c r="J13" s="20">
        <v>0</v>
      </c>
      <c r="K13" s="20">
        <v>0</v>
      </c>
      <c r="L13" s="20">
        <v>0</v>
      </c>
    </row>
    <row r="14" spans="1:12" ht="18" customHeight="1">
      <c r="A14" s="4">
        <v>29112</v>
      </c>
      <c r="B14" s="4">
        <f t="shared" si="0"/>
        <v>19</v>
      </c>
      <c r="C14" s="4">
        <f t="shared" si="1"/>
        <v>5</v>
      </c>
      <c r="D14" s="4">
        <f t="shared" si="2"/>
        <v>5</v>
      </c>
      <c r="E14" s="4">
        <f t="shared" si="3"/>
        <v>9</v>
      </c>
      <c r="F14" s="27">
        <v>1</v>
      </c>
      <c r="G14" s="27">
        <v>0</v>
      </c>
      <c r="H14" s="27">
        <v>0</v>
      </c>
      <c r="I14" s="33">
        <v>18</v>
      </c>
      <c r="J14" s="20">
        <v>4</v>
      </c>
      <c r="K14" s="20">
        <v>5</v>
      </c>
      <c r="L14" s="20">
        <v>9</v>
      </c>
    </row>
    <row r="15" spans="1:12" ht="18" customHeight="1">
      <c r="A15" s="4">
        <v>29113</v>
      </c>
      <c r="B15" s="4">
        <f t="shared" si="0"/>
        <v>24</v>
      </c>
      <c r="C15" s="4">
        <f t="shared" si="1"/>
        <v>8</v>
      </c>
      <c r="D15" s="4">
        <f t="shared" si="2"/>
        <v>7</v>
      </c>
      <c r="E15" s="4">
        <f t="shared" si="3"/>
        <v>9</v>
      </c>
      <c r="F15" s="27">
        <v>0</v>
      </c>
      <c r="G15" s="27">
        <v>1</v>
      </c>
      <c r="H15" s="27">
        <v>0</v>
      </c>
      <c r="I15" s="33">
        <v>23</v>
      </c>
      <c r="J15" s="20">
        <v>8</v>
      </c>
      <c r="K15" s="20">
        <v>6</v>
      </c>
      <c r="L15" s="20">
        <v>9</v>
      </c>
    </row>
    <row r="16" spans="1:12" ht="18" customHeight="1">
      <c r="A16" s="4">
        <v>29114</v>
      </c>
      <c r="B16" s="4">
        <f t="shared" si="0"/>
        <v>21</v>
      </c>
      <c r="C16" s="4">
        <f t="shared" si="1"/>
        <v>5</v>
      </c>
      <c r="D16" s="4">
        <f t="shared" si="2"/>
        <v>9</v>
      </c>
      <c r="E16" s="4">
        <f t="shared" si="3"/>
        <v>7</v>
      </c>
      <c r="F16" s="27">
        <v>0</v>
      </c>
      <c r="G16" s="27">
        <v>1</v>
      </c>
      <c r="H16" s="27">
        <v>0</v>
      </c>
      <c r="I16" s="33">
        <v>20</v>
      </c>
      <c r="J16" s="20">
        <v>5</v>
      </c>
      <c r="K16" s="20">
        <v>8</v>
      </c>
      <c r="L16" s="20">
        <v>7</v>
      </c>
    </row>
    <row r="17" spans="1:12" ht="18" customHeight="1">
      <c r="A17" s="4">
        <v>29115</v>
      </c>
      <c r="B17" s="4">
        <f t="shared" si="0"/>
        <v>4</v>
      </c>
      <c r="C17" s="4">
        <f t="shared" si="1"/>
        <v>2</v>
      </c>
      <c r="D17" s="4">
        <f t="shared" si="2"/>
        <v>1</v>
      </c>
      <c r="E17" s="4">
        <f t="shared" si="3"/>
        <v>1</v>
      </c>
      <c r="F17" s="27">
        <v>0</v>
      </c>
      <c r="G17" s="27">
        <v>0</v>
      </c>
      <c r="H17" s="27">
        <v>0</v>
      </c>
      <c r="I17" s="33">
        <v>4</v>
      </c>
      <c r="J17" s="20">
        <v>2</v>
      </c>
      <c r="K17" s="20">
        <v>1</v>
      </c>
      <c r="L17" s="20">
        <v>1</v>
      </c>
    </row>
    <row r="18" spans="1:12" ht="18" customHeight="1">
      <c r="A18" s="4">
        <v>29116</v>
      </c>
      <c r="B18" s="4">
        <f t="shared" si="0"/>
        <v>14</v>
      </c>
      <c r="C18" s="4">
        <f t="shared" si="1"/>
        <v>5</v>
      </c>
      <c r="D18" s="4">
        <f t="shared" si="2"/>
        <v>4</v>
      </c>
      <c r="E18" s="4">
        <f t="shared" si="3"/>
        <v>5</v>
      </c>
      <c r="F18" s="27">
        <v>0</v>
      </c>
      <c r="G18" s="27">
        <v>1</v>
      </c>
      <c r="H18" s="27">
        <v>0</v>
      </c>
      <c r="I18" s="33">
        <v>13</v>
      </c>
      <c r="J18" s="20">
        <v>5</v>
      </c>
      <c r="K18" s="20">
        <v>3</v>
      </c>
      <c r="L18" s="20">
        <v>5</v>
      </c>
    </row>
    <row r="19" spans="1:12" ht="18" customHeight="1">
      <c r="A19" s="4">
        <v>29117</v>
      </c>
      <c r="B19" s="4">
        <f t="shared" si="0"/>
        <v>2</v>
      </c>
      <c r="C19" s="4">
        <f t="shared" si="1"/>
        <v>1</v>
      </c>
      <c r="D19" s="4">
        <f t="shared" si="2"/>
        <v>0</v>
      </c>
      <c r="E19" s="4">
        <f t="shared" si="3"/>
        <v>1</v>
      </c>
      <c r="F19" s="27">
        <v>0</v>
      </c>
      <c r="G19" s="27">
        <v>0</v>
      </c>
      <c r="H19" s="27">
        <v>0</v>
      </c>
      <c r="I19" s="33">
        <v>2</v>
      </c>
      <c r="J19" s="20">
        <v>1</v>
      </c>
      <c r="K19" s="20">
        <v>0</v>
      </c>
      <c r="L19" s="20">
        <v>1</v>
      </c>
    </row>
    <row r="20" spans="1:12" ht="18" customHeight="1">
      <c r="A20" s="4">
        <v>29118</v>
      </c>
      <c r="B20" s="4">
        <f t="shared" si="0"/>
        <v>21</v>
      </c>
      <c r="C20" s="4">
        <f t="shared" si="1"/>
        <v>11</v>
      </c>
      <c r="D20" s="4">
        <f t="shared" si="2"/>
        <v>5</v>
      </c>
      <c r="E20" s="4">
        <f t="shared" si="3"/>
        <v>5</v>
      </c>
      <c r="F20" s="27">
        <v>1</v>
      </c>
      <c r="G20" s="27">
        <v>0</v>
      </c>
      <c r="H20" s="27">
        <v>0</v>
      </c>
      <c r="I20" s="33">
        <v>20</v>
      </c>
      <c r="J20" s="20">
        <v>10</v>
      </c>
      <c r="K20" s="20">
        <v>5</v>
      </c>
      <c r="L20" s="20">
        <v>5</v>
      </c>
    </row>
    <row r="21" spans="1:12" ht="18" customHeight="1">
      <c r="A21" s="4">
        <v>29151</v>
      </c>
      <c r="B21" s="4">
        <f t="shared" si="0"/>
        <v>21</v>
      </c>
      <c r="C21" s="4">
        <f t="shared" si="1"/>
        <v>9</v>
      </c>
      <c r="D21" s="4">
        <f t="shared" si="2"/>
        <v>6</v>
      </c>
      <c r="E21" s="4">
        <f t="shared" si="3"/>
        <v>6</v>
      </c>
      <c r="F21" s="27">
        <v>0</v>
      </c>
      <c r="G21" s="27">
        <v>1</v>
      </c>
      <c r="H21" s="27">
        <v>0</v>
      </c>
      <c r="I21" s="33">
        <v>20</v>
      </c>
      <c r="J21" s="20">
        <v>9</v>
      </c>
      <c r="K21" s="20">
        <v>5</v>
      </c>
      <c r="L21" s="20">
        <v>6</v>
      </c>
    </row>
    <row r="22" spans="1:12" ht="18" customHeight="1">
      <c r="A22" s="4">
        <v>29152</v>
      </c>
      <c r="B22" s="4">
        <f t="shared" si="0"/>
        <v>7</v>
      </c>
      <c r="C22" s="4">
        <f t="shared" si="1"/>
        <v>3</v>
      </c>
      <c r="D22" s="4">
        <f t="shared" si="2"/>
        <v>1</v>
      </c>
      <c r="E22" s="4">
        <f t="shared" si="3"/>
        <v>3</v>
      </c>
      <c r="F22" s="27">
        <v>0</v>
      </c>
      <c r="G22" s="27">
        <v>0</v>
      </c>
      <c r="H22" s="27">
        <v>0</v>
      </c>
      <c r="I22" s="33">
        <v>7</v>
      </c>
      <c r="J22" s="20">
        <v>3</v>
      </c>
      <c r="K22" s="20">
        <v>1</v>
      </c>
      <c r="L22" s="20">
        <v>3</v>
      </c>
    </row>
    <row r="23" spans="1:12" ht="18" customHeight="1">
      <c r="A23" s="4">
        <v>29153</v>
      </c>
      <c r="B23" s="4">
        <f t="shared" si="0"/>
        <v>9</v>
      </c>
      <c r="C23" s="4">
        <f t="shared" si="1"/>
        <v>4</v>
      </c>
      <c r="D23" s="4">
        <f t="shared" si="2"/>
        <v>1</v>
      </c>
      <c r="E23" s="4">
        <f t="shared" si="3"/>
        <v>4</v>
      </c>
      <c r="F23" s="27">
        <v>0</v>
      </c>
      <c r="G23" s="27">
        <v>0</v>
      </c>
      <c r="H23" s="27">
        <v>0</v>
      </c>
      <c r="I23" s="33">
        <v>9</v>
      </c>
      <c r="J23" s="20">
        <v>4</v>
      </c>
      <c r="K23" s="20">
        <v>1</v>
      </c>
      <c r="L23" s="20">
        <v>4</v>
      </c>
    </row>
    <row r="24" spans="1:12" ht="18" customHeight="1">
      <c r="A24" s="4">
        <v>29154</v>
      </c>
      <c r="B24" s="4">
        <f t="shared" si="0"/>
        <v>19</v>
      </c>
      <c r="C24" s="4">
        <f t="shared" si="1"/>
        <v>6</v>
      </c>
      <c r="D24" s="4">
        <f t="shared" si="2"/>
        <v>6</v>
      </c>
      <c r="E24" s="4">
        <f t="shared" si="3"/>
        <v>7</v>
      </c>
      <c r="F24" s="27">
        <v>1</v>
      </c>
      <c r="G24" s="27">
        <v>0</v>
      </c>
      <c r="H24" s="27">
        <v>0</v>
      </c>
      <c r="I24" s="33">
        <v>18</v>
      </c>
      <c r="J24" s="20">
        <v>5</v>
      </c>
      <c r="K24" s="20">
        <v>6</v>
      </c>
      <c r="L24" s="20">
        <v>7</v>
      </c>
    </row>
    <row r="25" spans="1:12" ht="18" customHeight="1">
      <c r="A25" s="4">
        <v>29155</v>
      </c>
      <c r="B25" s="4">
        <f t="shared" si="0"/>
        <v>22</v>
      </c>
      <c r="C25" s="4">
        <f t="shared" si="1"/>
        <v>12</v>
      </c>
      <c r="D25" s="4">
        <f t="shared" si="2"/>
        <v>3</v>
      </c>
      <c r="E25" s="4">
        <f t="shared" si="3"/>
        <v>7</v>
      </c>
      <c r="F25" s="27">
        <v>0</v>
      </c>
      <c r="G25" s="27">
        <v>0</v>
      </c>
      <c r="H25" s="27">
        <v>1</v>
      </c>
      <c r="I25" s="33">
        <v>21</v>
      </c>
      <c r="J25" s="20">
        <v>12</v>
      </c>
      <c r="K25" s="20">
        <v>3</v>
      </c>
      <c r="L25" s="20">
        <v>6</v>
      </c>
    </row>
    <row r="26" spans="1:12" s="30" customFormat="1" ht="18" customHeight="1">
      <c r="A26" s="28">
        <v>29156</v>
      </c>
      <c r="B26" s="4">
        <f t="shared" si="0"/>
        <v>4</v>
      </c>
      <c r="C26" s="28">
        <f t="shared" si="1"/>
        <v>1</v>
      </c>
      <c r="D26" s="28">
        <f t="shared" si="2"/>
        <v>0</v>
      </c>
      <c r="E26" s="28">
        <f t="shared" si="3"/>
        <v>3</v>
      </c>
      <c r="F26" s="27">
        <v>0</v>
      </c>
      <c r="G26" s="27">
        <v>0</v>
      </c>
      <c r="H26" s="27">
        <v>0</v>
      </c>
      <c r="I26" s="33">
        <v>4</v>
      </c>
      <c r="J26" s="20">
        <v>1</v>
      </c>
      <c r="K26" s="20">
        <v>0</v>
      </c>
      <c r="L26" s="20">
        <v>3</v>
      </c>
    </row>
    <row r="27" spans="1:12" ht="18" customHeight="1">
      <c r="A27" s="4">
        <v>29157</v>
      </c>
      <c r="B27" s="4">
        <f t="shared" si="0"/>
        <v>18</v>
      </c>
      <c r="C27" s="4">
        <f t="shared" si="1"/>
        <v>3</v>
      </c>
      <c r="D27" s="4">
        <f t="shared" si="2"/>
        <v>10</v>
      </c>
      <c r="E27" s="4">
        <f t="shared" si="3"/>
        <v>5</v>
      </c>
      <c r="F27" s="27">
        <v>0</v>
      </c>
      <c r="G27" s="27">
        <v>1</v>
      </c>
      <c r="H27" s="27">
        <v>0</v>
      </c>
      <c r="I27" s="33">
        <v>17</v>
      </c>
      <c r="J27" s="20">
        <v>3</v>
      </c>
      <c r="K27" s="20">
        <v>9</v>
      </c>
      <c r="L27" s="20">
        <v>5</v>
      </c>
    </row>
    <row r="28" spans="1:12" ht="18" customHeight="1">
      <c r="A28" s="4">
        <v>29158</v>
      </c>
      <c r="B28" s="4">
        <f t="shared" si="0"/>
        <v>6</v>
      </c>
      <c r="C28" s="4">
        <f t="shared" si="1"/>
        <v>1</v>
      </c>
      <c r="D28" s="4">
        <f t="shared" si="2"/>
        <v>0</v>
      </c>
      <c r="E28" s="4">
        <f t="shared" si="3"/>
        <v>5</v>
      </c>
      <c r="F28" s="27">
        <v>0</v>
      </c>
      <c r="G28" s="27">
        <v>0</v>
      </c>
      <c r="H28" s="27">
        <v>0</v>
      </c>
      <c r="I28" s="33">
        <v>6</v>
      </c>
      <c r="J28" s="20">
        <v>1</v>
      </c>
      <c r="K28" s="20">
        <v>0</v>
      </c>
      <c r="L28" s="20">
        <v>5</v>
      </c>
    </row>
    <row r="29" spans="1:12" ht="18" customHeight="1">
      <c r="A29" s="4">
        <v>29159</v>
      </c>
      <c r="B29" s="4">
        <f t="shared" si="0"/>
        <v>24</v>
      </c>
      <c r="C29" s="4">
        <f t="shared" si="1"/>
        <v>5</v>
      </c>
      <c r="D29" s="4">
        <f t="shared" si="2"/>
        <v>9</v>
      </c>
      <c r="E29" s="4">
        <f t="shared" si="3"/>
        <v>10</v>
      </c>
      <c r="F29" s="27">
        <v>0</v>
      </c>
      <c r="G29" s="27">
        <v>0</v>
      </c>
      <c r="H29" s="27">
        <v>1</v>
      </c>
      <c r="I29" s="33">
        <v>23</v>
      </c>
      <c r="J29" s="20">
        <v>5</v>
      </c>
      <c r="K29" s="20">
        <v>9</v>
      </c>
      <c r="L29" s="20">
        <v>9</v>
      </c>
    </row>
    <row r="30" spans="1:12" ht="18" customHeight="1">
      <c r="A30" s="4">
        <v>29160</v>
      </c>
      <c r="B30" s="4">
        <f t="shared" si="0"/>
        <v>20</v>
      </c>
      <c r="C30" s="4">
        <f t="shared" si="1"/>
        <v>7</v>
      </c>
      <c r="D30" s="4">
        <f t="shared" si="2"/>
        <v>6</v>
      </c>
      <c r="E30" s="4">
        <f t="shared" si="3"/>
        <v>7</v>
      </c>
      <c r="F30" s="27">
        <v>0</v>
      </c>
      <c r="G30" s="27">
        <v>0</v>
      </c>
      <c r="H30" s="27">
        <v>1</v>
      </c>
      <c r="I30" s="33">
        <v>19</v>
      </c>
      <c r="J30" s="20">
        <v>7</v>
      </c>
      <c r="K30" s="20">
        <v>6</v>
      </c>
      <c r="L30" s="20">
        <v>6</v>
      </c>
    </row>
    <row r="31" spans="1:12" ht="18" customHeight="1">
      <c r="A31" s="4">
        <v>29161</v>
      </c>
      <c r="B31" s="4">
        <f t="shared" si="0"/>
        <v>2</v>
      </c>
      <c r="C31" s="4">
        <f t="shared" si="1"/>
        <v>2</v>
      </c>
      <c r="D31" s="4">
        <f t="shared" si="2"/>
        <v>0</v>
      </c>
      <c r="E31" s="4">
        <f t="shared" si="3"/>
        <v>0</v>
      </c>
      <c r="F31" s="27">
        <v>0</v>
      </c>
      <c r="G31" s="27">
        <v>0</v>
      </c>
      <c r="H31" s="27">
        <v>0</v>
      </c>
      <c r="I31" s="33">
        <v>2</v>
      </c>
      <c r="J31" s="20">
        <v>2</v>
      </c>
      <c r="K31" s="20">
        <v>0</v>
      </c>
      <c r="L31" s="20">
        <v>0</v>
      </c>
    </row>
    <row r="32" spans="1:12" ht="18" customHeight="1">
      <c r="A32" s="4">
        <v>29162</v>
      </c>
      <c r="B32" s="4">
        <f t="shared" si="0"/>
        <v>7</v>
      </c>
      <c r="C32" s="4">
        <f t="shared" si="1"/>
        <v>2</v>
      </c>
      <c r="D32" s="4">
        <f t="shared" si="2"/>
        <v>3</v>
      </c>
      <c r="E32" s="4">
        <f t="shared" si="3"/>
        <v>2</v>
      </c>
      <c r="F32" s="27">
        <v>0</v>
      </c>
      <c r="G32" s="27">
        <v>0</v>
      </c>
      <c r="H32" s="27">
        <v>0</v>
      </c>
      <c r="I32" s="33">
        <v>7</v>
      </c>
      <c r="J32" s="20">
        <v>2</v>
      </c>
      <c r="K32" s="20">
        <v>3</v>
      </c>
      <c r="L32" s="20">
        <v>2</v>
      </c>
    </row>
    <row r="33" spans="1:12" ht="15.5" customHeight="1">
      <c r="A33" s="4">
        <v>29163</v>
      </c>
      <c r="B33" s="4">
        <f t="shared" si="0"/>
        <v>12</v>
      </c>
      <c r="C33" s="4">
        <f t="shared" si="1"/>
        <v>4</v>
      </c>
      <c r="D33" s="4">
        <f t="shared" si="2"/>
        <v>3</v>
      </c>
      <c r="E33" s="4">
        <f t="shared" si="3"/>
        <v>5</v>
      </c>
      <c r="F33" s="27">
        <v>1</v>
      </c>
      <c r="G33" s="27">
        <v>0</v>
      </c>
      <c r="H33" s="27">
        <v>0</v>
      </c>
      <c r="I33" s="33">
        <v>11</v>
      </c>
      <c r="J33" s="20">
        <v>3</v>
      </c>
      <c r="K33" s="20">
        <v>3</v>
      </c>
      <c r="L33" s="20">
        <v>5</v>
      </c>
    </row>
    <row r="34" spans="1:12" ht="15.5" customHeight="1">
      <c r="A34" s="4">
        <v>29164</v>
      </c>
      <c r="B34" s="4">
        <f t="shared" si="0"/>
        <v>1</v>
      </c>
      <c r="C34" s="4">
        <f t="shared" si="1"/>
        <v>0</v>
      </c>
      <c r="D34" s="4">
        <f t="shared" si="2"/>
        <v>0</v>
      </c>
      <c r="E34" s="4">
        <f t="shared" si="3"/>
        <v>1</v>
      </c>
      <c r="F34" s="27">
        <v>0</v>
      </c>
      <c r="G34" s="27">
        <v>0</v>
      </c>
      <c r="H34" s="27">
        <v>0</v>
      </c>
      <c r="I34" s="33">
        <v>1</v>
      </c>
      <c r="J34" s="20">
        <v>0</v>
      </c>
      <c r="K34" s="20">
        <v>0</v>
      </c>
      <c r="L34" s="20">
        <v>1</v>
      </c>
    </row>
    <row r="35" spans="1:12" ht="15.5" customHeight="1">
      <c r="A35" s="4">
        <v>29165</v>
      </c>
      <c r="B35" s="4">
        <f t="shared" ref="B35:B52" si="4">IF(AND(F35=0,G35=0,H35=0),0,1)+I35</f>
        <v>9</v>
      </c>
      <c r="C35" s="4">
        <f t="shared" ref="C35:C52" si="5">F35+J35</f>
        <v>4</v>
      </c>
      <c r="D35" s="4">
        <f t="shared" ref="D35:D52" si="6">G35+K35</f>
        <v>2</v>
      </c>
      <c r="E35" s="4">
        <f t="shared" ref="E35:E52" si="7">H35+L35</f>
        <v>3</v>
      </c>
      <c r="F35" s="27">
        <v>0</v>
      </c>
      <c r="G35" s="27">
        <v>0</v>
      </c>
      <c r="H35" s="27">
        <v>0</v>
      </c>
      <c r="I35" s="33">
        <v>9</v>
      </c>
      <c r="J35" s="20">
        <v>4</v>
      </c>
      <c r="K35" s="20">
        <v>2</v>
      </c>
      <c r="L35" s="20">
        <v>3</v>
      </c>
    </row>
    <row r="36" spans="1:12" ht="15.5" customHeight="1">
      <c r="A36" s="4">
        <v>29166</v>
      </c>
      <c r="B36" s="4">
        <f t="shared" si="4"/>
        <v>21</v>
      </c>
      <c r="C36" s="4">
        <f t="shared" si="5"/>
        <v>8</v>
      </c>
      <c r="D36" s="4">
        <f t="shared" si="6"/>
        <v>6</v>
      </c>
      <c r="E36" s="4">
        <f t="shared" si="7"/>
        <v>7</v>
      </c>
      <c r="F36" s="27">
        <v>0</v>
      </c>
      <c r="G36" s="27">
        <v>0</v>
      </c>
      <c r="H36" s="27">
        <v>1</v>
      </c>
      <c r="I36" s="33">
        <v>20</v>
      </c>
      <c r="J36" s="20">
        <v>8</v>
      </c>
      <c r="K36" s="20">
        <v>6</v>
      </c>
      <c r="L36" s="20">
        <v>6</v>
      </c>
    </row>
    <row r="37" spans="1:12" ht="15.5" customHeight="1">
      <c r="A37" s="4">
        <v>29167</v>
      </c>
      <c r="B37" s="4">
        <f t="shared" si="4"/>
        <v>0</v>
      </c>
      <c r="C37" s="4">
        <f t="shared" si="5"/>
        <v>0</v>
      </c>
      <c r="D37" s="4">
        <f t="shared" si="6"/>
        <v>0</v>
      </c>
      <c r="E37" s="4">
        <f t="shared" si="7"/>
        <v>0</v>
      </c>
      <c r="F37" s="27">
        <v>0</v>
      </c>
      <c r="G37" s="27">
        <v>0</v>
      </c>
      <c r="H37" s="27">
        <v>0</v>
      </c>
      <c r="I37" s="33">
        <v>0</v>
      </c>
      <c r="J37" s="20">
        <v>0</v>
      </c>
      <c r="K37" s="20">
        <v>0</v>
      </c>
      <c r="L37" s="20">
        <v>0</v>
      </c>
    </row>
    <row r="38" spans="1:12" ht="15.5" customHeight="1">
      <c r="A38" s="4">
        <v>29168</v>
      </c>
      <c r="B38" s="4">
        <f t="shared" si="4"/>
        <v>17</v>
      </c>
      <c r="C38" s="4">
        <f t="shared" si="5"/>
        <v>8</v>
      </c>
      <c r="D38" s="4">
        <f t="shared" si="6"/>
        <v>5</v>
      </c>
      <c r="E38" s="4">
        <f t="shared" si="7"/>
        <v>4</v>
      </c>
      <c r="F38" s="27">
        <v>0</v>
      </c>
      <c r="G38" s="27">
        <v>1</v>
      </c>
      <c r="H38" s="27">
        <v>0</v>
      </c>
      <c r="I38" s="33">
        <v>16</v>
      </c>
      <c r="J38" s="20">
        <v>8</v>
      </c>
      <c r="K38" s="20">
        <v>4</v>
      </c>
      <c r="L38" s="20">
        <v>4</v>
      </c>
    </row>
    <row r="39" spans="1:12" ht="15.5" customHeight="1">
      <c r="A39" s="4">
        <v>29169</v>
      </c>
      <c r="B39" s="4">
        <f t="shared" si="4"/>
        <v>22</v>
      </c>
      <c r="C39" s="4">
        <f t="shared" si="5"/>
        <v>6</v>
      </c>
      <c r="D39" s="4">
        <f t="shared" si="6"/>
        <v>9</v>
      </c>
      <c r="E39" s="4">
        <f t="shared" si="7"/>
        <v>7</v>
      </c>
      <c r="F39" s="27">
        <v>0</v>
      </c>
      <c r="G39" s="27">
        <v>0</v>
      </c>
      <c r="H39" s="27">
        <v>1</v>
      </c>
      <c r="I39" s="33">
        <v>21</v>
      </c>
      <c r="J39" s="20">
        <v>6</v>
      </c>
      <c r="K39" s="20">
        <v>9</v>
      </c>
      <c r="L39" s="20">
        <v>6</v>
      </c>
    </row>
    <row r="40" spans="1:12" ht="15.5" customHeight="1">
      <c r="A40" s="4">
        <v>29170</v>
      </c>
      <c r="B40" s="4">
        <f t="shared" si="4"/>
        <v>23</v>
      </c>
      <c r="C40" s="4">
        <f t="shared" si="5"/>
        <v>8</v>
      </c>
      <c r="D40" s="4">
        <f t="shared" si="6"/>
        <v>10</v>
      </c>
      <c r="E40" s="4">
        <f t="shared" si="7"/>
        <v>5</v>
      </c>
      <c r="F40" s="27">
        <v>0</v>
      </c>
      <c r="G40" s="27">
        <v>0</v>
      </c>
      <c r="H40" s="27">
        <v>1</v>
      </c>
      <c r="I40" s="33">
        <v>22</v>
      </c>
      <c r="J40" s="20">
        <v>8</v>
      </c>
      <c r="K40" s="20">
        <v>10</v>
      </c>
      <c r="L40" s="20">
        <v>4</v>
      </c>
    </row>
    <row r="41" spans="1:12" ht="15.5" customHeight="1">
      <c r="A41" s="4">
        <v>29171</v>
      </c>
      <c r="B41" s="4">
        <f t="shared" si="4"/>
        <v>12</v>
      </c>
      <c r="C41" s="4">
        <f t="shared" si="5"/>
        <v>4</v>
      </c>
      <c r="D41" s="4">
        <f t="shared" si="6"/>
        <v>6</v>
      </c>
      <c r="E41" s="4">
        <f t="shared" si="7"/>
        <v>2</v>
      </c>
      <c r="F41" s="27">
        <v>0</v>
      </c>
      <c r="G41" s="27">
        <v>0</v>
      </c>
      <c r="H41" s="27">
        <v>1</v>
      </c>
      <c r="I41" s="33">
        <v>11</v>
      </c>
      <c r="J41" s="20">
        <v>4</v>
      </c>
      <c r="K41" s="20">
        <v>6</v>
      </c>
      <c r="L41" s="20">
        <v>1</v>
      </c>
    </row>
    <row r="42" spans="1:12" ht="15.5" customHeight="1">
      <c r="A42" s="4">
        <v>29172</v>
      </c>
      <c r="B42" s="4">
        <f t="shared" si="4"/>
        <v>21</v>
      </c>
      <c r="C42" s="4">
        <f t="shared" si="5"/>
        <v>6</v>
      </c>
      <c r="D42" s="4">
        <f t="shared" si="6"/>
        <v>7</v>
      </c>
      <c r="E42" s="4">
        <f t="shared" si="7"/>
        <v>8</v>
      </c>
      <c r="F42" s="27">
        <v>0</v>
      </c>
      <c r="G42" s="27">
        <v>0</v>
      </c>
      <c r="H42" s="27">
        <v>1</v>
      </c>
      <c r="I42" s="33">
        <v>20</v>
      </c>
      <c r="J42" s="20">
        <v>6</v>
      </c>
      <c r="K42" s="20">
        <v>7</v>
      </c>
      <c r="L42" s="20">
        <v>7</v>
      </c>
    </row>
    <row r="43" spans="1:12" ht="15.5" customHeight="1">
      <c r="A43" s="4">
        <v>29173</v>
      </c>
      <c r="B43" s="4">
        <f t="shared" si="4"/>
        <v>0</v>
      </c>
      <c r="C43" s="4">
        <f t="shared" si="5"/>
        <v>0</v>
      </c>
      <c r="D43" s="4">
        <f t="shared" si="6"/>
        <v>0</v>
      </c>
      <c r="E43" s="4">
        <f t="shared" si="7"/>
        <v>0</v>
      </c>
      <c r="F43" s="27">
        <v>0</v>
      </c>
      <c r="G43" s="27">
        <v>0</v>
      </c>
      <c r="H43" s="27">
        <v>0</v>
      </c>
      <c r="I43" s="33">
        <v>0</v>
      </c>
      <c r="J43" s="20">
        <v>0</v>
      </c>
      <c r="K43" s="20">
        <v>0</v>
      </c>
      <c r="L43" s="20">
        <v>0</v>
      </c>
    </row>
    <row r="44" spans="1:12" ht="15.5" customHeight="1">
      <c r="A44" s="4">
        <v>29174</v>
      </c>
      <c r="B44" s="4">
        <f t="shared" si="4"/>
        <v>19</v>
      </c>
      <c r="C44" s="4">
        <f t="shared" si="5"/>
        <v>8</v>
      </c>
      <c r="D44" s="4">
        <f t="shared" si="6"/>
        <v>5</v>
      </c>
      <c r="E44" s="4">
        <f t="shared" si="7"/>
        <v>6</v>
      </c>
      <c r="F44" s="27">
        <v>1</v>
      </c>
      <c r="G44" s="27">
        <v>0</v>
      </c>
      <c r="H44" s="27">
        <v>0</v>
      </c>
      <c r="I44" s="33">
        <v>18</v>
      </c>
      <c r="J44" s="20">
        <v>7</v>
      </c>
      <c r="K44" s="20">
        <v>5</v>
      </c>
      <c r="L44" s="20">
        <v>6</v>
      </c>
    </row>
    <row r="45" spans="1:12" ht="15.5" customHeight="1">
      <c r="A45" s="4">
        <v>29175</v>
      </c>
      <c r="B45" s="4">
        <f t="shared" si="4"/>
        <v>9</v>
      </c>
      <c r="C45" s="4">
        <f t="shared" si="5"/>
        <v>1</v>
      </c>
      <c r="D45" s="4">
        <f t="shared" si="6"/>
        <v>6</v>
      </c>
      <c r="E45" s="4">
        <f t="shared" si="7"/>
        <v>2</v>
      </c>
      <c r="F45" s="27">
        <v>0</v>
      </c>
      <c r="G45" s="27">
        <v>0</v>
      </c>
      <c r="H45" s="27">
        <v>0</v>
      </c>
      <c r="I45" s="33">
        <v>9</v>
      </c>
      <c r="J45" s="20">
        <v>1</v>
      </c>
      <c r="K45" s="20">
        <v>6</v>
      </c>
      <c r="L45" s="20">
        <v>2</v>
      </c>
    </row>
    <row r="46" spans="1:12" ht="15.5" customHeight="1">
      <c r="A46" s="4">
        <v>29176</v>
      </c>
      <c r="B46" s="4">
        <f t="shared" si="4"/>
        <v>2</v>
      </c>
      <c r="C46" s="4">
        <f t="shared" si="5"/>
        <v>1</v>
      </c>
      <c r="D46" s="4">
        <f t="shared" si="6"/>
        <v>1</v>
      </c>
      <c r="E46" s="4">
        <f t="shared" si="7"/>
        <v>0</v>
      </c>
      <c r="F46" s="27">
        <v>0</v>
      </c>
      <c r="G46" s="27">
        <v>0</v>
      </c>
      <c r="H46" s="27">
        <v>0</v>
      </c>
      <c r="I46" s="33">
        <v>2</v>
      </c>
      <c r="J46" s="20">
        <v>1</v>
      </c>
      <c r="K46" s="20">
        <v>1</v>
      </c>
      <c r="L46" s="20">
        <v>0</v>
      </c>
    </row>
    <row r="47" spans="1:12" ht="15.5" customHeight="1">
      <c r="A47" s="4">
        <v>29177</v>
      </c>
      <c r="B47" s="4">
        <f t="shared" si="4"/>
        <v>20</v>
      </c>
      <c r="C47" s="4">
        <f t="shared" si="5"/>
        <v>10</v>
      </c>
      <c r="D47" s="4">
        <f t="shared" si="6"/>
        <v>2</v>
      </c>
      <c r="E47" s="4">
        <f t="shared" si="7"/>
        <v>8</v>
      </c>
      <c r="F47" s="27">
        <v>0</v>
      </c>
      <c r="G47" s="27">
        <v>0</v>
      </c>
      <c r="H47" s="27">
        <v>1</v>
      </c>
      <c r="I47" s="33">
        <v>19</v>
      </c>
      <c r="J47" s="20">
        <v>10</v>
      </c>
      <c r="K47" s="20">
        <v>2</v>
      </c>
      <c r="L47" s="20">
        <v>7</v>
      </c>
    </row>
    <row r="48" spans="1:12" ht="15.5" customHeight="1">
      <c r="A48" s="4">
        <v>29178</v>
      </c>
      <c r="B48" s="4">
        <f t="shared" si="4"/>
        <v>24</v>
      </c>
      <c r="C48" s="4">
        <f t="shared" si="5"/>
        <v>10</v>
      </c>
      <c r="D48" s="4">
        <f t="shared" si="6"/>
        <v>4</v>
      </c>
      <c r="E48" s="4">
        <f t="shared" si="7"/>
        <v>10</v>
      </c>
      <c r="F48" s="27">
        <v>1</v>
      </c>
      <c r="G48" s="27">
        <v>0</v>
      </c>
      <c r="H48" s="27">
        <v>0</v>
      </c>
      <c r="I48" s="33">
        <v>23</v>
      </c>
      <c r="J48" s="20">
        <v>9</v>
      </c>
      <c r="K48" s="20">
        <v>4</v>
      </c>
      <c r="L48" s="20">
        <v>10</v>
      </c>
    </row>
    <row r="49" spans="1:12" ht="15.5" customHeight="1">
      <c r="A49" s="4">
        <v>29179</v>
      </c>
      <c r="B49" s="4">
        <f t="shared" si="4"/>
        <v>23</v>
      </c>
      <c r="C49" s="4">
        <f t="shared" si="5"/>
        <v>3</v>
      </c>
      <c r="D49" s="4">
        <f t="shared" si="6"/>
        <v>16</v>
      </c>
      <c r="E49" s="4">
        <f t="shared" si="7"/>
        <v>4</v>
      </c>
      <c r="F49" s="27">
        <v>0</v>
      </c>
      <c r="G49" s="27">
        <v>1</v>
      </c>
      <c r="H49" s="27">
        <v>0</v>
      </c>
      <c r="I49" s="33">
        <v>22</v>
      </c>
      <c r="J49" s="20">
        <v>3</v>
      </c>
      <c r="K49" s="20">
        <v>15</v>
      </c>
      <c r="L49" s="20">
        <v>4</v>
      </c>
    </row>
    <row r="50" spans="1:12" ht="15.5" customHeight="1">
      <c r="A50" s="4">
        <v>29180</v>
      </c>
      <c r="B50" s="4">
        <f t="shared" si="4"/>
        <v>3</v>
      </c>
      <c r="C50" s="4">
        <f t="shared" si="5"/>
        <v>1</v>
      </c>
      <c r="D50" s="4">
        <f t="shared" si="6"/>
        <v>0</v>
      </c>
      <c r="E50" s="4">
        <f t="shared" si="7"/>
        <v>2</v>
      </c>
      <c r="F50" s="27">
        <v>0</v>
      </c>
      <c r="G50" s="27">
        <v>0</v>
      </c>
      <c r="H50" s="27">
        <v>0</v>
      </c>
      <c r="I50" s="33">
        <v>3</v>
      </c>
      <c r="J50" s="20">
        <v>1</v>
      </c>
      <c r="K50" s="20">
        <v>0</v>
      </c>
      <c r="L50" s="20">
        <v>2</v>
      </c>
    </row>
    <row r="51" spans="1:12" ht="15.5" customHeight="1">
      <c r="A51" s="4">
        <v>29181</v>
      </c>
      <c r="B51" s="4">
        <f t="shared" si="4"/>
        <v>0</v>
      </c>
      <c r="C51" s="4">
        <f t="shared" si="5"/>
        <v>0</v>
      </c>
      <c r="D51" s="4">
        <f t="shared" si="6"/>
        <v>0</v>
      </c>
      <c r="E51" s="4">
        <f t="shared" si="7"/>
        <v>0</v>
      </c>
      <c r="F51" s="27">
        <v>0</v>
      </c>
      <c r="G51" s="27">
        <v>0</v>
      </c>
      <c r="H51" s="27">
        <v>0</v>
      </c>
      <c r="I51" s="33">
        <v>0</v>
      </c>
      <c r="J51" s="20">
        <v>0</v>
      </c>
      <c r="K51" s="20">
        <v>0</v>
      </c>
      <c r="L51" s="20">
        <v>0</v>
      </c>
    </row>
    <row r="52" spans="1:12" ht="15.5" customHeight="1">
      <c r="A52" s="4">
        <v>29182</v>
      </c>
      <c r="B52" s="4">
        <f t="shared" si="4"/>
        <v>4</v>
      </c>
      <c r="C52" s="4">
        <f t="shared" si="5"/>
        <v>2</v>
      </c>
      <c r="D52" s="4">
        <f t="shared" si="6"/>
        <v>0</v>
      </c>
      <c r="E52" s="4">
        <f t="shared" si="7"/>
        <v>2</v>
      </c>
      <c r="F52" s="27">
        <v>0</v>
      </c>
      <c r="G52" s="27">
        <v>0</v>
      </c>
      <c r="H52" s="27">
        <v>0</v>
      </c>
      <c r="I52" s="33">
        <v>4</v>
      </c>
      <c r="J52" s="20">
        <v>2</v>
      </c>
      <c r="K52" s="20">
        <v>0</v>
      </c>
      <c r="L52" s="20">
        <v>2</v>
      </c>
    </row>
  </sheetData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614</v>
      </c>
      <c r="C1" s="2">
        <f>SUM(C3:C1001)</f>
        <v>366</v>
      </c>
      <c r="D1" s="2">
        <f>SUM(D3:D1001)</f>
        <v>15</v>
      </c>
      <c r="E1" s="2">
        <f>SUM(E3:E1001)</f>
        <v>241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14</v>
      </c>
      <c r="C3" s="7">
        <f t="shared" ref="C3:C34" si="1">F3+J3</f>
        <v>13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13</v>
      </c>
      <c r="J3" s="10">
        <v>12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14</v>
      </c>
      <c r="C4" s="7">
        <f t="shared" si="1"/>
        <v>6</v>
      </c>
      <c r="D4" s="7">
        <f t="shared" si="2"/>
        <v>0</v>
      </c>
      <c r="E4" s="7">
        <f t="shared" si="3"/>
        <v>8</v>
      </c>
      <c r="F4" s="15">
        <v>0</v>
      </c>
      <c r="G4" s="15">
        <v>0</v>
      </c>
      <c r="H4" s="15">
        <v>1</v>
      </c>
      <c r="I4" s="11">
        <v>13</v>
      </c>
      <c r="J4" s="12">
        <v>6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15</v>
      </c>
      <c r="C5" s="7">
        <f t="shared" si="1"/>
        <v>14</v>
      </c>
      <c r="D5" s="7">
        <f t="shared" si="2"/>
        <v>0</v>
      </c>
      <c r="E5" s="7">
        <f t="shared" si="3"/>
        <v>1</v>
      </c>
      <c r="F5" s="15">
        <v>1</v>
      </c>
      <c r="G5" s="15">
        <v>0</v>
      </c>
      <c r="H5" s="15">
        <v>0</v>
      </c>
      <c r="I5" s="11">
        <v>14</v>
      </c>
      <c r="J5" s="12">
        <v>13</v>
      </c>
      <c r="K5" s="12">
        <v>0</v>
      </c>
      <c r="L5" s="12">
        <v>1</v>
      </c>
    </row>
    <row r="6" spans="1:12" ht="18" customHeight="1">
      <c r="A6" s="6">
        <v>29104</v>
      </c>
      <c r="B6" s="6">
        <f t="shared" si="0"/>
        <v>15</v>
      </c>
      <c r="C6" s="7">
        <f t="shared" si="1"/>
        <v>12</v>
      </c>
      <c r="D6" s="7">
        <f t="shared" si="2"/>
        <v>0</v>
      </c>
      <c r="E6" s="7">
        <f t="shared" si="3"/>
        <v>3</v>
      </c>
      <c r="F6" s="15">
        <v>1</v>
      </c>
      <c r="G6" s="15">
        <v>0</v>
      </c>
      <c r="H6" s="15">
        <v>0</v>
      </c>
      <c r="I6" s="11">
        <v>14</v>
      </c>
      <c r="J6" s="12">
        <v>11</v>
      </c>
      <c r="K6" s="12">
        <v>0</v>
      </c>
      <c r="L6" s="12">
        <v>3</v>
      </c>
    </row>
    <row r="7" spans="1:12" ht="18" customHeight="1">
      <c r="A7" s="6">
        <v>29105</v>
      </c>
      <c r="B7" s="6">
        <f t="shared" si="0"/>
        <v>14</v>
      </c>
      <c r="C7" s="7">
        <f t="shared" si="1"/>
        <v>11</v>
      </c>
      <c r="D7" s="7">
        <f t="shared" si="2"/>
        <v>0</v>
      </c>
      <c r="E7" s="7">
        <f t="shared" si="3"/>
        <v>3</v>
      </c>
      <c r="F7" s="15">
        <v>1</v>
      </c>
      <c r="G7" s="15">
        <v>0</v>
      </c>
      <c r="H7" s="15">
        <v>0</v>
      </c>
      <c r="I7" s="11">
        <v>13</v>
      </c>
      <c r="J7" s="12">
        <v>10</v>
      </c>
      <c r="K7" s="12">
        <v>0</v>
      </c>
      <c r="L7" s="12">
        <v>3</v>
      </c>
    </row>
    <row r="8" spans="1:12" ht="18" customHeight="1">
      <c r="A8" s="6">
        <v>29106</v>
      </c>
      <c r="B8" s="6">
        <f t="shared" si="0"/>
        <v>8</v>
      </c>
      <c r="C8" s="7">
        <f t="shared" si="1"/>
        <v>4</v>
      </c>
      <c r="D8" s="7">
        <f t="shared" si="2"/>
        <v>0</v>
      </c>
      <c r="E8" s="7">
        <f t="shared" si="3"/>
        <v>4</v>
      </c>
      <c r="F8" s="15">
        <v>0</v>
      </c>
      <c r="G8" s="15">
        <v>0</v>
      </c>
      <c r="H8" s="15">
        <v>1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15</v>
      </c>
      <c r="C9" s="7">
        <f t="shared" si="1"/>
        <v>6</v>
      </c>
      <c r="D9" s="7">
        <f t="shared" si="2"/>
        <v>0</v>
      </c>
      <c r="E9" s="7">
        <f t="shared" si="3"/>
        <v>9</v>
      </c>
      <c r="F9" s="15">
        <v>0</v>
      </c>
      <c r="G9" s="15">
        <v>0</v>
      </c>
      <c r="H9" s="15">
        <v>1</v>
      </c>
      <c r="I9" s="11">
        <v>14</v>
      </c>
      <c r="J9" s="12">
        <v>6</v>
      </c>
      <c r="K9" s="12">
        <v>0</v>
      </c>
      <c r="L9" s="12">
        <v>8</v>
      </c>
    </row>
    <row r="10" spans="1:12" ht="18" customHeight="1">
      <c r="A10" s="6">
        <v>29108</v>
      </c>
      <c r="B10" s="6">
        <f t="shared" si="0"/>
        <v>15</v>
      </c>
      <c r="C10" s="7">
        <f t="shared" si="1"/>
        <v>10</v>
      </c>
      <c r="D10" s="7">
        <f t="shared" si="2"/>
        <v>0</v>
      </c>
      <c r="E10" s="7">
        <f t="shared" si="3"/>
        <v>5</v>
      </c>
      <c r="F10" s="15">
        <v>0</v>
      </c>
      <c r="G10" s="15">
        <v>0</v>
      </c>
      <c r="H10" s="15">
        <v>1</v>
      </c>
      <c r="I10" s="11">
        <v>14</v>
      </c>
      <c r="J10" s="12">
        <v>10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10</v>
      </c>
      <c r="C11" s="7">
        <f t="shared" si="1"/>
        <v>7</v>
      </c>
      <c r="D11" s="7">
        <f t="shared" si="2"/>
        <v>0</v>
      </c>
      <c r="E11" s="7">
        <f t="shared" si="3"/>
        <v>3</v>
      </c>
      <c r="F11" s="15">
        <v>0</v>
      </c>
      <c r="G11" s="15">
        <v>0</v>
      </c>
      <c r="H11" s="15">
        <v>1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15</v>
      </c>
      <c r="C12" s="7">
        <f t="shared" si="1"/>
        <v>3</v>
      </c>
      <c r="D12" s="7">
        <f t="shared" si="2"/>
        <v>0</v>
      </c>
      <c r="E12" s="7">
        <f t="shared" si="3"/>
        <v>12</v>
      </c>
      <c r="F12" s="15">
        <v>0</v>
      </c>
      <c r="G12" s="15">
        <v>0</v>
      </c>
      <c r="H12" s="15">
        <v>1</v>
      </c>
      <c r="I12" s="11">
        <v>14</v>
      </c>
      <c r="J12" s="12">
        <v>3</v>
      </c>
      <c r="K12" s="12">
        <v>0</v>
      </c>
      <c r="L12" s="12">
        <v>11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15</v>
      </c>
      <c r="C14" s="7">
        <f t="shared" si="1"/>
        <v>11</v>
      </c>
      <c r="D14" s="7">
        <f t="shared" si="2"/>
        <v>1</v>
      </c>
      <c r="E14" s="7">
        <f t="shared" si="3"/>
        <v>3</v>
      </c>
      <c r="F14" s="15">
        <v>1</v>
      </c>
      <c r="G14" s="15">
        <v>0</v>
      </c>
      <c r="H14" s="15">
        <v>0</v>
      </c>
      <c r="I14" s="11">
        <v>14</v>
      </c>
      <c r="J14" s="12">
        <v>10</v>
      </c>
      <c r="K14" s="12">
        <v>1</v>
      </c>
      <c r="L14" s="12">
        <v>3</v>
      </c>
    </row>
    <row r="15" spans="1:12" ht="18" customHeight="1">
      <c r="A15" s="6">
        <v>29113</v>
      </c>
      <c r="B15" s="6">
        <f t="shared" si="0"/>
        <v>15</v>
      </c>
      <c r="C15" s="7">
        <f t="shared" si="1"/>
        <v>15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14</v>
      </c>
      <c r="J15" s="12">
        <v>14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13</v>
      </c>
      <c r="C16" s="7">
        <f t="shared" si="1"/>
        <v>3</v>
      </c>
      <c r="D16" s="7">
        <f t="shared" si="2"/>
        <v>0</v>
      </c>
      <c r="E16" s="7">
        <f t="shared" si="3"/>
        <v>10</v>
      </c>
      <c r="F16" s="15">
        <v>0</v>
      </c>
      <c r="G16" s="15">
        <v>0</v>
      </c>
      <c r="H16" s="15">
        <v>1</v>
      </c>
      <c r="I16" s="11">
        <v>12</v>
      </c>
      <c r="J16" s="12">
        <v>3</v>
      </c>
      <c r="K16" s="12">
        <v>0</v>
      </c>
      <c r="L16" s="12">
        <v>9</v>
      </c>
    </row>
    <row r="17" spans="1:12" ht="18" customHeight="1">
      <c r="A17" s="6">
        <v>29115</v>
      </c>
      <c r="B17" s="6">
        <f t="shared" si="0"/>
        <v>15</v>
      </c>
      <c r="C17" s="7">
        <f t="shared" si="1"/>
        <v>10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14</v>
      </c>
      <c r="J17" s="12">
        <v>9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12</v>
      </c>
      <c r="C19" s="7">
        <f t="shared" si="1"/>
        <v>7</v>
      </c>
      <c r="D19" s="7">
        <f t="shared" si="2"/>
        <v>0</v>
      </c>
      <c r="E19" s="7">
        <f t="shared" si="3"/>
        <v>5</v>
      </c>
      <c r="F19" s="15">
        <v>0</v>
      </c>
      <c r="G19" s="15">
        <v>0</v>
      </c>
      <c r="H19" s="15">
        <v>1</v>
      </c>
      <c r="I19" s="11">
        <v>11</v>
      </c>
      <c r="J19" s="12">
        <v>7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15</v>
      </c>
      <c r="C20" s="7">
        <f t="shared" si="1"/>
        <v>9</v>
      </c>
      <c r="D20" s="7">
        <f t="shared" si="2"/>
        <v>0</v>
      </c>
      <c r="E20" s="7">
        <f t="shared" si="3"/>
        <v>6</v>
      </c>
      <c r="F20" s="15">
        <v>1</v>
      </c>
      <c r="G20" s="15">
        <v>0</v>
      </c>
      <c r="H20" s="15">
        <v>0</v>
      </c>
      <c r="I20" s="11">
        <v>14</v>
      </c>
      <c r="J20" s="12">
        <v>8</v>
      </c>
      <c r="K20" s="12">
        <v>0</v>
      </c>
      <c r="L20" s="12">
        <v>6</v>
      </c>
    </row>
    <row r="21" spans="1:12" ht="18" customHeight="1">
      <c r="A21" s="6">
        <v>29151</v>
      </c>
      <c r="B21" s="6">
        <f t="shared" si="0"/>
        <v>15</v>
      </c>
      <c r="C21" s="7">
        <f t="shared" si="1"/>
        <v>15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14</v>
      </c>
      <c r="J21" s="12">
        <v>14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12</v>
      </c>
      <c r="C22" s="7">
        <f t="shared" si="1"/>
        <v>7</v>
      </c>
      <c r="D22" s="7">
        <f t="shared" si="2"/>
        <v>0</v>
      </c>
      <c r="E22" s="7">
        <f t="shared" si="3"/>
        <v>5</v>
      </c>
      <c r="F22" s="15">
        <v>0</v>
      </c>
      <c r="G22" s="15">
        <v>0</v>
      </c>
      <c r="H22" s="15">
        <v>1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12</v>
      </c>
      <c r="C23" s="7">
        <f t="shared" si="1"/>
        <v>7</v>
      </c>
      <c r="D23" s="7">
        <f t="shared" si="2"/>
        <v>1</v>
      </c>
      <c r="E23" s="7">
        <f t="shared" si="3"/>
        <v>4</v>
      </c>
      <c r="F23" s="15">
        <v>0</v>
      </c>
      <c r="G23" s="15">
        <v>0</v>
      </c>
      <c r="H23" s="15">
        <v>1</v>
      </c>
      <c r="I23" s="11">
        <v>11</v>
      </c>
      <c r="J23" s="12">
        <v>7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15</v>
      </c>
      <c r="C24" s="7">
        <f t="shared" si="1"/>
        <v>7</v>
      </c>
      <c r="D24" s="7">
        <f t="shared" si="2"/>
        <v>0</v>
      </c>
      <c r="E24" s="7">
        <f t="shared" si="3"/>
        <v>9</v>
      </c>
      <c r="F24" s="15">
        <v>0</v>
      </c>
      <c r="G24" s="15">
        <v>0</v>
      </c>
      <c r="H24" s="15">
        <v>1</v>
      </c>
      <c r="I24" s="11">
        <v>14</v>
      </c>
      <c r="J24" s="12">
        <v>7</v>
      </c>
      <c r="K24" s="12">
        <v>0</v>
      </c>
      <c r="L24" s="12">
        <v>8</v>
      </c>
    </row>
    <row r="25" spans="1:12" ht="18" customHeight="1">
      <c r="A25" s="6">
        <v>29155</v>
      </c>
      <c r="B25" s="6">
        <f t="shared" si="0"/>
        <v>15</v>
      </c>
      <c r="C25" s="7">
        <f t="shared" si="1"/>
        <v>8</v>
      </c>
      <c r="D25" s="7">
        <f t="shared" si="2"/>
        <v>0</v>
      </c>
      <c r="E25" s="7">
        <f t="shared" si="3"/>
        <v>9</v>
      </c>
      <c r="F25" s="15">
        <v>0</v>
      </c>
      <c r="G25" s="15">
        <v>0</v>
      </c>
      <c r="H25" s="15">
        <v>1</v>
      </c>
      <c r="I25" s="11">
        <v>14</v>
      </c>
      <c r="J25" s="12">
        <v>8</v>
      </c>
      <c r="K25" s="12">
        <v>0</v>
      </c>
      <c r="L25" s="12">
        <v>8</v>
      </c>
    </row>
    <row r="26" spans="1:12" s="30" customFormat="1" ht="18" customHeight="1">
      <c r="A26" s="13">
        <v>29156</v>
      </c>
      <c r="B26" s="6">
        <f t="shared" si="0"/>
        <v>11</v>
      </c>
      <c r="C26" s="14">
        <f t="shared" si="1"/>
        <v>5</v>
      </c>
      <c r="D26" s="14">
        <f t="shared" si="2"/>
        <v>0</v>
      </c>
      <c r="E26" s="14">
        <f t="shared" si="3"/>
        <v>6</v>
      </c>
      <c r="F26" s="15">
        <v>0</v>
      </c>
      <c r="G26" s="15">
        <v>0</v>
      </c>
      <c r="H26" s="15">
        <v>1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12</v>
      </c>
      <c r="C27" s="7">
        <f t="shared" si="1"/>
        <v>6</v>
      </c>
      <c r="D27" s="7">
        <f t="shared" si="2"/>
        <v>1</v>
      </c>
      <c r="E27" s="7">
        <f t="shared" si="3"/>
        <v>5</v>
      </c>
      <c r="F27" s="15">
        <v>0</v>
      </c>
      <c r="G27" s="15">
        <v>0</v>
      </c>
      <c r="H27" s="15">
        <v>1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12</v>
      </c>
      <c r="C28" s="7">
        <f t="shared" si="1"/>
        <v>10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11</v>
      </c>
      <c r="J28" s="12">
        <v>9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15</v>
      </c>
      <c r="C29" s="7">
        <f t="shared" si="1"/>
        <v>8</v>
      </c>
      <c r="D29" s="7">
        <f t="shared" si="2"/>
        <v>1</v>
      </c>
      <c r="E29" s="7">
        <f t="shared" si="3"/>
        <v>6</v>
      </c>
      <c r="F29" s="15">
        <v>0</v>
      </c>
      <c r="G29" s="15">
        <v>0</v>
      </c>
      <c r="H29" s="15">
        <v>1</v>
      </c>
      <c r="I29" s="11">
        <v>14</v>
      </c>
      <c r="J29" s="12">
        <v>8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14</v>
      </c>
      <c r="C30" s="7">
        <f t="shared" si="1"/>
        <v>3</v>
      </c>
      <c r="D30" s="7">
        <f t="shared" si="2"/>
        <v>2</v>
      </c>
      <c r="E30" s="7">
        <f t="shared" si="3"/>
        <v>9</v>
      </c>
      <c r="F30" s="15">
        <v>0</v>
      </c>
      <c r="G30" s="15">
        <v>0</v>
      </c>
      <c r="H30" s="15">
        <v>1</v>
      </c>
      <c r="I30" s="11">
        <v>13</v>
      </c>
      <c r="J30" s="12">
        <v>3</v>
      </c>
      <c r="K30" s="12">
        <v>2</v>
      </c>
      <c r="L30" s="12">
        <v>8</v>
      </c>
    </row>
    <row r="31" spans="1:12" ht="18" customHeight="1">
      <c r="A31" s="6">
        <v>29161</v>
      </c>
      <c r="B31" s="6">
        <f t="shared" si="0"/>
        <v>12</v>
      </c>
      <c r="C31" s="7">
        <f t="shared" si="1"/>
        <v>10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15</v>
      </c>
      <c r="C32" s="7">
        <f t="shared" si="1"/>
        <v>7</v>
      </c>
      <c r="D32" s="7">
        <f t="shared" si="2"/>
        <v>0</v>
      </c>
      <c r="E32" s="7">
        <f t="shared" si="3"/>
        <v>8</v>
      </c>
      <c r="F32" s="15">
        <v>1</v>
      </c>
      <c r="G32" s="15">
        <v>0</v>
      </c>
      <c r="H32" s="15">
        <v>0</v>
      </c>
      <c r="I32" s="11">
        <v>14</v>
      </c>
      <c r="J32" s="12">
        <v>6</v>
      </c>
      <c r="K32" s="12">
        <v>0</v>
      </c>
      <c r="L32" s="12">
        <v>8</v>
      </c>
    </row>
    <row r="33" spans="1:12" ht="15.5" customHeight="1">
      <c r="A33" s="6">
        <v>29163</v>
      </c>
      <c r="B33" s="6">
        <f t="shared" si="0"/>
        <v>14</v>
      </c>
      <c r="C33" s="7">
        <f t="shared" si="1"/>
        <v>9</v>
      </c>
      <c r="D33" s="7">
        <f t="shared" si="2"/>
        <v>1</v>
      </c>
      <c r="E33" s="7">
        <f t="shared" si="3"/>
        <v>4</v>
      </c>
      <c r="F33" s="15">
        <v>0</v>
      </c>
      <c r="G33" s="15">
        <v>0</v>
      </c>
      <c r="H33" s="15">
        <v>1</v>
      </c>
      <c r="I33" s="11">
        <v>13</v>
      </c>
      <c r="J33" s="12">
        <v>9</v>
      </c>
      <c r="K33" s="12">
        <v>1</v>
      </c>
      <c r="L33" s="12">
        <v>3</v>
      </c>
    </row>
    <row r="34" spans="1:12" ht="15.5" customHeight="1">
      <c r="A34" s="6">
        <v>29164</v>
      </c>
      <c r="B34" s="6">
        <f t="shared" si="0"/>
        <v>7</v>
      </c>
      <c r="C34" s="7">
        <f t="shared" si="1"/>
        <v>4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15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5</v>
      </c>
      <c r="F35" s="15">
        <v>0</v>
      </c>
      <c r="G35" s="15">
        <v>0</v>
      </c>
      <c r="H35" s="15">
        <v>1</v>
      </c>
      <c r="I35" s="11">
        <v>14</v>
      </c>
      <c r="J35" s="12">
        <v>10</v>
      </c>
      <c r="K35" s="12">
        <v>0</v>
      </c>
      <c r="L35" s="12">
        <v>4</v>
      </c>
    </row>
    <row r="36" spans="1:12" ht="15.5" customHeight="1">
      <c r="A36" s="6">
        <v>29166</v>
      </c>
      <c r="B36" s="6">
        <f t="shared" si="4"/>
        <v>15</v>
      </c>
      <c r="C36" s="7">
        <f t="shared" si="5"/>
        <v>6</v>
      </c>
      <c r="D36" s="7">
        <f t="shared" si="6"/>
        <v>0</v>
      </c>
      <c r="E36" s="7">
        <f t="shared" si="7"/>
        <v>9</v>
      </c>
      <c r="F36" s="15">
        <v>0</v>
      </c>
      <c r="G36" s="15">
        <v>0</v>
      </c>
      <c r="H36" s="15">
        <v>1</v>
      </c>
      <c r="I36" s="11">
        <v>14</v>
      </c>
      <c r="J36" s="12">
        <v>6</v>
      </c>
      <c r="K36" s="12">
        <v>0</v>
      </c>
      <c r="L36" s="12">
        <v>8</v>
      </c>
    </row>
    <row r="37" spans="1:12" ht="15.5" customHeight="1">
      <c r="A37" s="6">
        <v>29167</v>
      </c>
      <c r="B37" s="6">
        <f t="shared" si="4"/>
        <v>12</v>
      </c>
      <c r="C37" s="7">
        <f t="shared" si="5"/>
        <v>9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11</v>
      </c>
      <c r="J37" s="12">
        <v>8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14</v>
      </c>
      <c r="C38" s="7">
        <f t="shared" si="5"/>
        <v>11</v>
      </c>
      <c r="D38" s="7">
        <f t="shared" si="6"/>
        <v>4</v>
      </c>
      <c r="E38" s="7">
        <f t="shared" si="7"/>
        <v>2</v>
      </c>
      <c r="F38" s="15">
        <v>1</v>
      </c>
      <c r="G38" s="15">
        <v>0</v>
      </c>
      <c r="H38" s="15">
        <v>0</v>
      </c>
      <c r="I38" s="11">
        <v>13</v>
      </c>
      <c r="J38" s="12">
        <v>10</v>
      </c>
      <c r="K38" s="12">
        <v>4</v>
      </c>
      <c r="L38" s="12">
        <v>2</v>
      </c>
    </row>
    <row r="39" spans="1:12" ht="15.5" customHeight="1">
      <c r="A39" s="6">
        <v>29169</v>
      </c>
      <c r="B39" s="6">
        <f t="shared" si="4"/>
        <v>12</v>
      </c>
      <c r="C39" s="7">
        <f t="shared" si="5"/>
        <v>2</v>
      </c>
      <c r="D39" s="7">
        <f t="shared" si="6"/>
        <v>0</v>
      </c>
      <c r="E39" s="7">
        <f t="shared" si="7"/>
        <v>10</v>
      </c>
      <c r="F39" s="15">
        <v>0</v>
      </c>
      <c r="G39" s="15">
        <v>0</v>
      </c>
      <c r="H39" s="15">
        <v>1</v>
      </c>
      <c r="I39" s="11">
        <v>11</v>
      </c>
      <c r="J39" s="12">
        <v>2</v>
      </c>
      <c r="K39" s="12">
        <v>0</v>
      </c>
      <c r="L39" s="12">
        <v>9</v>
      </c>
    </row>
    <row r="40" spans="1:12" ht="15.5" customHeight="1">
      <c r="A40" s="6">
        <v>29170</v>
      </c>
      <c r="B40" s="6">
        <f t="shared" si="4"/>
        <v>13</v>
      </c>
      <c r="C40" s="7">
        <f t="shared" si="5"/>
        <v>7</v>
      </c>
      <c r="D40" s="7">
        <f t="shared" si="6"/>
        <v>2</v>
      </c>
      <c r="E40" s="7">
        <f t="shared" si="7"/>
        <v>4</v>
      </c>
      <c r="F40" s="15">
        <v>1</v>
      </c>
      <c r="G40" s="15">
        <v>0</v>
      </c>
      <c r="H40" s="15">
        <v>0</v>
      </c>
      <c r="I40" s="11">
        <v>12</v>
      </c>
      <c r="J40" s="12">
        <v>6</v>
      </c>
      <c r="K40" s="12">
        <v>2</v>
      </c>
      <c r="L40" s="12">
        <v>4</v>
      </c>
    </row>
    <row r="41" spans="1:12" ht="15.5" customHeight="1">
      <c r="A41" s="6">
        <v>29171</v>
      </c>
      <c r="B41" s="6">
        <f t="shared" si="4"/>
        <v>12</v>
      </c>
      <c r="C41" s="7">
        <f t="shared" si="5"/>
        <v>5</v>
      </c>
      <c r="D41" s="7">
        <f t="shared" si="6"/>
        <v>0</v>
      </c>
      <c r="E41" s="7">
        <f t="shared" si="7"/>
        <v>7</v>
      </c>
      <c r="F41" s="15">
        <v>0</v>
      </c>
      <c r="G41" s="15">
        <v>0</v>
      </c>
      <c r="H41" s="15">
        <v>1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15</v>
      </c>
      <c r="C42" s="7">
        <f t="shared" si="5"/>
        <v>1</v>
      </c>
      <c r="D42" s="7">
        <f t="shared" si="6"/>
        <v>1</v>
      </c>
      <c r="E42" s="7">
        <f t="shared" si="7"/>
        <v>13</v>
      </c>
      <c r="F42" s="15">
        <v>0</v>
      </c>
      <c r="G42" s="15">
        <v>0</v>
      </c>
      <c r="H42" s="15">
        <v>1</v>
      </c>
      <c r="I42" s="11">
        <v>14</v>
      </c>
      <c r="J42" s="12">
        <v>1</v>
      </c>
      <c r="K42" s="12">
        <v>1</v>
      </c>
      <c r="L42" s="12">
        <v>12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7</v>
      </c>
      <c r="C44" s="7">
        <f t="shared" si="5"/>
        <v>5</v>
      </c>
      <c r="D44" s="7">
        <f t="shared" si="6"/>
        <v>0</v>
      </c>
      <c r="E44" s="7">
        <f t="shared" si="7"/>
        <v>2</v>
      </c>
      <c r="F44" s="15">
        <v>0</v>
      </c>
      <c r="G44" s="15">
        <v>0</v>
      </c>
      <c r="H44" s="15">
        <v>1</v>
      </c>
      <c r="I44" s="11">
        <v>6</v>
      </c>
      <c r="J44" s="12">
        <v>5</v>
      </c>
      <c r="K44" s="12">
        <v>0</v>
      </c>
      <c r="L44" s="12">
        <v>1</v>
      </c>
    </row>
    <row r="45" spans="1:12" ht="15.5" customHeight="1">
      <c r="A45" s="6">
        <v>29175</v>
      </c>
      <c r="B45" s="6">
        <f t="shared" si="4"/>
        <v>9</v>
      </c>
      <c r="C45" s="7">
        <f t="shared" si="5"/>
        <v>8</v>
      </c>
      <c r="D45" s="7">
        <f t="shared" si="6"/>
        <v>0</v>
      </c>
      <c r="E45" s="7">
        <f t="shared" si="7"/>
        <v>1</v>
      </c>
      <c r="F45" s="15">
        <v>1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14</v>
      </c>
      <c r="C46" s="7">
        <f t="shared" si="5"/>
        <v>12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13</v>
      </c>
      <c r="J46" s="12">
        <v>11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15</v>
      </c>
      <c r="C47" s="7">
        <f t="shared" si="5"/>
        <v>8</v>
      </c>
      <c r="D47" s="7">
        <f t="shared" si="6"/>
        <v>0</v>
      </c>
      <c r="E47" s="7">
        <f t="shared" si="7"/>
        <v>8</v>
      </c>
      <c r="F47" s="15">
        <v>0</v>
      </c>
      <c r="G47" s="15">
        <v>0</v>
      </c>
      <c r="H47" s="15">
        <v>1</v>
      </c>
      <c r="I47" s="11">
        <v>14</v>
      </c>
      <c r="J47" s="12">
        <v>8</v>
      </c>
      <c r="K47" s="12">
        <v>0</v>
      </c>
      <c r="L47" s="12">
        <v>7</v>
      </c>
    </row>
    <row r="48" spans="1:12" ht="15.5" customHeight="1">
      <c r="A48" s="6">
        <v>29178</v>
      </c>
      <c r="B48" s="6">
        <f t="shared" si="4"/>
        <v>15</v>
      </c>
      <c r="C48" s="7">
        <f t="shared" si="5"/>
        <v>4</v>
      </c>
      <c r="D48" s="7">
        <f t="shared" si="6"/>
        <v>0</v>
      </c>
      <c r="E48" s="7">
        <f t="shared" si="7"/>
        <v>12</v>
      </c>
      <c r="F48" s="15">
        <v>0</v>
      </c>
      <c r="G48" s="15">
        <v>0</v>
      </c>
      <c r="H48" s="15">
        <v>1</v>
      </c>
      <c r="I48" s="11">
        <v>14</v>
      </c>
      <c r="J48" s="12">
        <v>4</v>
      </c>
      <c r="K48" s="12">
        <v>0</v>
      </c>
      <c r="L48" s="12">
        <v>11</v>
      </c>
    </row>
    <row r="49" spans="1:12" ht="15.5" customHeight="1">
      <c r="A49" s="6">
        <v>29179</v>
      </c>
      <c r="B49" s="6">
        <f t="shared" si="4"/>
        <v>14</v>
      </c>
      <c r="C49" s="7">
        <f t="shared" si="5"/>
        <v>3</v>
      </c>
      <c r="D49" s="7">
        <f t="shared" si="6"/>
        <v>0</v>
      </c>
      <c r="E49" s="7">
        <f t="shared" si="7"/>
        <v>11</v>
      </c>
      <c r="F49" s="15">
        <v>0</v>
      </c>
      <c r="G49" s="15">
        <v>0</v>
      </c>
      <c r="H49" s="15">
        <v>1</v>
      </c>
      <c r="I49" s="11">
        <v>13</v>
      </c>
      <c r="J49" s="12">
        <v>3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15</v>
      </c>
      <c r="C52" s="7">
        <f t="shared" si="5"/>
        <v>13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14</v>
      </c>
      <c r="J52" s="12">
        <v>12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569</v>
      </c>
      <c r="C1" s="2">
        <f>SUM(C3:C1001)</f>
        <v>347</v>
      </c>
      <c r="D1" s="2">
        <f>SUM(D3:D1001)</f>
        <v>15</v>
      </c>
      <c r="E1" s="2">
        <f>SUM(E3:E1001)</f>
        <v>215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13</v>
      </c>
      <c r="C3" s="7">
        <f t="shared" ref="C3:C34" si="1">F3+J3</f>
        <v>12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13</v>
      </c>
      <c r="C4" s="7">
        <f t="shared" si="1"/>
        <v>6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12</v>
      </c>
      <c r="J4" s="12">
        <v>5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14</v>
      </c>
      <c r="C5" s="7">
        <f t="shared" si="1"/>
        <v>13</v>
      </c>
      <c r="D5" s="7">
        <f t="shared" si="2"/>
        <v>0</v>
      </c>
      <c r="E5" s="7">
        <f t="shared" si="3"/>
        <v>1</v>
      </c>
      <c r="F5" s="15">
        <v>0</v>
      </c>
      <c r="G5" s="15">
        <v>0</v>
      </c>
      <c r="H5" s="15">
        <v>1</v>
      </c>
      <c r="I5" s="11">
        <v>13</v>
      </c>
      <c r="J5" s="12">
        <v>13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14</v>
      </c>
      <c r="C6" s="7">
        <f t="shared" si="1"/>
        <v>11</v>
      </c>
      <c r="D6" s="7">
        <f t="shared" si="2"/>
        <v>0</v>
      </c>
      <c r="E6" s="7">
        <f t="shared" si="3"/>
        <v>3</v>
      </c>
      <c r="F6" s="15">
        <v>0</v>
      </c>
      <c r="G6" s="15">
        <v>0</v>
      </c>
      <c r="H6" s="15">
        <v>1</v>
      </c>
      <c r="I6" s="11">
        <v>13</v>
      </c>
      <c r="J6" s="12">
        <v>11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13</v>
      </c>
      <c r="C7" s="7">
        <f t="shared" si="1"/>
        <v>10</v>
      </c>
      <c r="D7" s="7">
        <f t="shared" si="2"/>
        <v>0</v>
      </c>
      <c r="E7" s="7">
        <f t="shared" si="3"/>
        <v>3</v>
      </c>
      <c r="F7" s="15">
        <v>0</v>
      </c>
      <c r="G7" s="15">
        <v>0</v>
      </c>
      <c r="H7" s="15">
        <v>1</v>
      </c>
      <c r="I7" s="11">
        <v>12</v>
      </c>
      <c r="J7" s="12">
        <v>10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0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14</v>
      </c>
      <c r="C9" s="7">
        <f t="shared" si="1"/>
        <v>6</v>
      </c>
      <c r="D9" s="7">
        <f t="shared" si="2"/>
        <v>0</v>
      </c>
      <c r="E9" s="7">
        <f t="shared" si="3"/>
        <v>8</v>
      </c>
      <c r="F9" s="15">
        <v>0</v>
      </c>
      <c r="G9" s="15">
        <v>0</v>
      </c>
      <c r="H9" s="15">
        <v>1</v>
      </c>
      <c r="I9" s="11">
        <v>13</v>
      </c>
      <c r="J9" s="12">
        <v>6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14</v>
      </c>
      <c r="C10" s="7">
        <f t="shared" si="1"/>
        <v>10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13</v>
      </c>
      <c r="J10" s="12">
        <v>9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14</v>
      </c>
      <c r="C12" s="7">
        <f t="shared" si="1"/>
        <v>3</v>
      </c>
      <c r="D12" s="7">
        <f t="shared" si="2"/>
        <v>0</v>
      </c>
      <c r="E12" s="7">
        <f t="shared" si="3"/>
        <v>11</v>
      </c>
      <c r="F12" s="15">
        <v>0</v>
      </c>
      <c r="G12" s="15">
        <v>0</v>
      </c>
      <c r="H12" s="15">
        <v>1</v>
      </c>
      <c r="I12" s="11">
        <v>13</v>
      </c>
      <c r="J12" s="12">
        <v>3</v>
      </c>
      <c r="K12" s="12">
        <v>0</v>
      </c>
      <c r="L12" s="12">
        <v>10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14</v>
      </c>
      <c r="C14" s="7">
        <f t="shared" si="1"/>
        <v>10</v>
      </c>
      <c r="D14" s="7">
        <f t="shared" si="2"/>
        <v>1</v>
      </c>
      <c r="E14" s="7">
        <f t="shared" si="3"/>
        <v>3</v>
      </c>
      <c r="F14" s="15">
        <v>0</v>
      </c>
      <c r="G14" s="15">
        <v>0</v>
      </c>
      <c r="H14" s="15">
        <v>1</v>
      </c>
      <c r="I14" s="11">
        <v>13</v>
      </c>
      <c r="J14" s="12">
        <v>10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14</v>
      </c>
      <c r="C15" s="7">
        <f t="shared" si="1"/>
        <v>14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13</v>
      </c>
      <c r="J15" s="12">
        <v>13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12</v>
      </c>
      <c r="C16" s="7">
        <f t="shared" si="1"/>
        <v>3</v>
      </c>
      <c r="D16" s="7">
        <f t="shared" si="2"/>
        <v>0</v>
      </c>
      <c r="E16" s="7">
        <f t="shared" si="3"/>
        <v>9</v>
      </c>
      <c r="F16" s="15">
        <v>0</v>
      </c>
      <c r="G16" s="15">
        <v>0</v>
      </c>
      <c r="H16" s="15">
        <v>1</v>
      </c>
      <c r="I16" s="11">
        <v>11</v>
      </c>
      <c r="J16" s="12">
        <v>3</v>
      </c>
      <c r="K16" s="12">
        <v>0</v>
      </c>
      <c r="L16" s="12">
        <v>8</v>
      </c>
    </row>
    <row r="17" spans="1:12" ht="18" customHeight="1">
      <c r="A17" s="6">
        <v>29115</v>
      </c>
      <c r="B17" s="6">
        <f t="shared" si="0"/>
        <v>14</v>
      </c>
      <c r="C17" s="7">
        <f t="shared" si="1"/>
        <v>9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13</v>
      </c>
      <c r="J17" s="12">
        <v>8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11</v>
      </c>
      <c r="C19" s="7">
        <f t="shared" si="1"/>
        <v>7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10</v>
      </c>
      <c r="J19" s="12">
        <v>6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14</v>
      </c>
      <c r="C20" s="7">
        <f t="shared" si="1"/>
        <v>8</v>
      </c>
      <c r="D20" s="7">
        <f t="shared" si="2"/>
        <v>0</v>
      </c>
      <c r="E20" s="7">
        <f t="shared" si="3"/>
        <v>6</v>
      </c>
      <c r="F20" s="15">
        <v>0</v>
      </c>
      <c r="G20" s="15">
        <v>0</v>
      </c>
      <c r="H20" s="15">
        <v>1</v>
      </c>
      <c r="I20" s="11">
        <v>13</v>
      </c>
      <c r="J20" s="12">
        <v>8</v>
      </c>
      <c r="K20" s="12">
        <v>0</v>
      </c>
      <c r="L20" s="12">
        <v>5</v>
      </c>
    </row>
    <row r="21" spans="1:12" ht="18" customHeight="1">
      <c r="A21" s="6">
        <v>29151</v>
      </c>
      <c r="B21" s="6">
        <f t="shared" si="0"/>
        <v>14</v>
      </c>
      <c r="C21" s="7">
        <f t="shared" si="1"/>
        <v>14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13</v>
      </c>
      <c r="J21" s="12">
        <v>13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11</v>
      </c>
      <c r="C23" s="7">
        <f t="shared" si="1"/>
        <v>7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10</v>
      </c>
      <c r="J23" s="12">
        <v>6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14</v>
      </c>
      <c r="C24" s="7">
        <f t="shared" si="1"/>
        <v>7</v>
      </c>
      <c r="D24" s="7">
        <f t="shared" si="2"/>
        <v>0</v>
      </c>
      <c r="E24" s="7">
        <f t="shared" si="3"/>
        <v>8</v>
      </c>
      <c r="F24" s="15">
        <v>0</v>
      </c>
      <c r="G24" s="15">
        <v>0</v>
      </c>
      <c r="H24" s="15">
        <v>1</v>
      </c>
      <c r="I24" s="11">
        <v>13</v>
      </c>
      <c r="J24" s="12">
        <v>7</v>
      </c>
      <c r="K24" s="12">
        <v>0</v>
      </c>
      <c r="L24" s="12">
        <v>7</v>
      </c>
    </row>
    <row r="25" spans="1:12" ht="18" customHeight="1">
      <c r="A25" s="6">
        <v>29155</v>
      </c>
      <c r="B25" s="6">
        <f t="shared" si="0"/>
        <v>14</v>
      </c>
      <c r="C25" s="7">
        <f t="shared" si="1"/>
        <v>8</v>
      </c>
      <c r="D25" s="7">
        <f t="shared" si="2"/>
        <v>0</v>
      </c>
      <c r="E25" s="7">
        <f t="shared" si="3"/>
        <v>8</v>
      </c>
      <c r="F25" s="15">
        <v>0</v>
      </c>
      <c r="G25" s="15">
        <v>0</v>
      </c>
      <c r="H25" s="15">
        <v>1</v>
      </c>
      <c r="I25" s="11">
        <v>13</v>
      </c>
      <c r="J25" s="12">
        <v>8</v>
      </c>
      <c r="K25" s="12">
        <v>0</v>
      </c>
      <c r="L25" s="12">
        <v>7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0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11</v>
      </c>
      <c r="C28" s="7">
        <f t="shared" si="1"/>
        <v>9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10</v>
      </c>
      <c r="J28" s="12">
        <v>8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14</v>
      </c>
      <c r="C29" s="7">
        <f t="shared" si="1"/>
        <v>8</v>
      </c>
      <c r="D29" s="7">
        <f t="shared" si="2"/>
        <v>1</v>
      </c>
      <c r="E29" s="7">
        <f t="shared" si="3"/>
        <v>5</v>
      </c>
      <c r="F29" s="15">
        <v>1</v>
      </c>
      <c r="G29" s="15">
        <v>0</v>
      </c>
      <c r="H29" s="15">
        <v>0</v>
      </c>
      <c r="I29" s="11">
        <v>13</v>
      </c>
      <c r="J29" s="12">
        <v>7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13</v>
      </c>
      <c r="C30" s="7">
        <f t="shared" si="1"/>
        <v>3</v>
      </c>
      <c r="D30" s="7">
        <f t="shared" si="2"/>
        <v>2</v>
      </c>
      <c r="E30" s="7">
        <f t="shared" si="3"/>
        <v>8</v>
      </c>
      <c r="F30" s="15">
        <v>0</v>
      </c>
      <c r="G30" s="15">
        <v>0</v>
      </c>
      <c r="H30" s="15">
        <v>1</v>
      </c>
      <c r="I30" s="11">
        <v>12</v>
      </c>
      <c r="J30" s="12">
        <v>3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0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14</v>
      </c>
      <c r="C32" s="7">
        <f t="shared" si="1"/>
        <v>6</v>
      </c>
      <c r="D32" s="7">
        <f t="shared" si="2"/>
        <v>0</v>
      </c>
      <c r="E32" s="7">
        <f t="shared" si="3"/>
        <v>8</v>
      </c>
      <c r="F32" s="15">
        <v>0</v>
      </c>
      <c r="G32" s="15">
        <v>0</v>
      </c>
      <c r="H32" s="15">
        <v>1</v>
      </c>
      <c r="I32" s="11">
        <v>13</v>
      </c>
      <c r="J32" s="12">
        <v>6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13</v>
      </c>
      <c r="C33" s="7">
        <f t="shared" si="1"/>
        <v>9</v>
      </c>
      <c r="D33" s="7">
        <f t="shared" si="2"/>
        <v>1</v>
      </c>
      <c r="E33" s="7">
        <f t="shared" si="3"/>
        <v>3</v>
      </c>
      <c r="F33" s="15">
        <v>0</v>
      </c>
      <c r="G33" s="15">
        <v>0</v>
      </c>
      <c r="H33" s="15">
        <v>1</v>
      </c>
      <c r="I33" s="11">
        <v>12</v>
      </c>
      <c r="J33" s="12">
        <v>9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0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14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4</v>
      </c>
      <c r="F35" s="15">
        <v>0</v>
      </c>
      <c r="G35" s="15">
        <v>0</v>
      </c>
      <c r="H35" s="15">
        <v>1</v>
      </c>
      <c r="I35" s="11">
        <v>13</v>
      </c>
      <c r="J35" s="12">
        <v>10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14</v>
      </c>
      <c r="C36" s="7">
        <f t="shared" si="5"/>
        <v>6</v>
      </c>
      <c r="D36" s="7">
        <f t="shared" si="6"/>
        <v>0</v>
      </c>
      <c r="E36" s="7">
        <f t="shared" si="7"/>
        <v>8</v>
      </c>
      <c r="F36" s="15">
        <v>0</v>
      </c>
      <c r="G36" s="15">
        <v>0</v>
      </c>
      <c r="H36" s="15">
        <v>1</v>
      </c>
      <c r="I36" s="11">
        <v>13</v>
      </c>
      <c r="J36" s="12">
        <v>6</v>
      </c>
      <c r="K36" s="12">
        <v>0</v>
      </c>
      <c r="L36" s="12">
        <v>7</v>
      </c>
    </row>
    <row r="37" spans="1:12" ht="15.5" customHeight="1">
      <c r="A37" s="6">
        <v>29167</v>
      </c>
      <c r="B37" s="6">
        <f t="shared" si="4"/>
        <v>11</v>
      </c>
      <c r="C37" s="7">
        <f t="shared" si="5"/>
        <v>8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10</v>
      </c>
      <c r="J37" s="12">
        <v>7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13</v>
      </c>
      <c r="C38" s="7">
        <f t="shared" si="5"/>
        <v>10</v>
      </c>
      <c r="D38" s="7">
        <f t="shared" si="6"/>
        <v>4</v>
      </c>
      <c r="E38" s="7">
        <f t="shared" si="7"/>
        <v>2</v>
      </c>
      <c r="F38" s="15">
        <v>1</v>
      </c>
      <c r="G38" s="15">
        <v>1</v>
      </c>
      <c r="H38" s="15">
        <v>0</v>
      </c>
      <c r="I38" s="11">
        <v>12</v>
      </c>
      <c r="J38" s="12">
        <v>9</v>
      </c>
      <c r="K38" s="12">
        <v>3</v>
      </c>
      <c r="L38" s="12">
        <v>2</v>
      </c>
    </row>
    <row r="39" spans="1:12" ht="15.5" customHeight="1">
      <c r="A39" s="6">
        <v>29169</v>
      </c>
      <c r="B39" s="6">
        <f t="shared" si="4"/>
        <v>11</v>
      </c>
      <c r="C39" s="7">
        <f t="shared" si="5"/>
        <v>2</v>
      </c>
      <c r="D39" s="7">
        <f t="shared" si="6"/>
        <v>0</v>
      </c>
      <c r="E39" s="7">
        <f t="shared" si="7"/>
        <v>9</v>
      </c>
      <c r="F39" s="15">
        <v>0</v>
      </c>
      <c r="G39" s="15">
        <v>0</v>
      </c>
      <c r="H39" s="15">
        <v>1</v>
      </c>
      <c r="I39" s="11">
        <v>10</v>
      </c>
      <c r="J39" s="12">
        <v>2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12</v>
      </c>
      <c r="C40" s="7">
        <f t="shared" si="5"/>
        <v>6</v>
      </c>
      <c r="D40" s="7">
        <f t="shared" si="6"/>
        <v>2</v>
      </c>
      <c r="E40" s="7">
        <f t="shared" si="7"/>
        <v>4</v>
      </c>
      <c r="F40" s="15">
        <v>0</v>
      </c>
      <c r="G40" s="15">
        <v>0</v>
      </c>
      <c r="H40" s="15">
        <v>1</v>
      </c>
      <c r="I40" s="11">
        <v>11</v>
      </c>
      <c r="J40" s="12">
        <v>6</v>
      </c>
      <c r="K40" s="12">
        <v>2</v>
      </c>
      <c r="L40" s="12">
        <v>3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0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14</v>
      </c>
      <c r="C42" s="7">
        <f t="shared" si="5"/>
        <v>1</v>
      </c>
      <c r="D42" s="7">
        <f t="shared" si="6"/>
        <v>1</v>
      </c>
      <c r="E42" s="7">
        <f t="shared" si="7"/>
        <v>12</v>
      </c>
      <c r="F42" s="15">
        <v>0</v>
      </c>
      <c r="G42" s="15">
        <v>0</v>
      </c>
      <c r="H42" s="15">
        <v>1</v>
      </c>
      <c r="I42" s="11">
        <v>13</v>
      </c>
      <c r="J42" s="12">
        <v>1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6</v>
      </c>
      <c r="C44" s="7">
        <f t="shared" si="5"/>
        <v>5</v>
      </c>
      <c r="D44" s="7">
        <f t="shared" si="6"/>
        <v>0</v>
      </c>
      <c r="E44" s="7">
        <f t="shared" si="7"/>
        <v>1</v>
      </c>
      <c r="F44" s="15">
        <v>0</v>
      </c>
      <c r="G44" s="15">
        <v>0</v>
      </c>
      <c r="H44" s="15">
        <v>1</v>
      </c>
      <c r="I44" s="11">
        <v>5</v>
      </c>
      <c r="J44" s="12">
        <v>5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13</v>
      </c>
      <c r="C46" s="7">
        <f t="shared" si="5"/>
        <v>11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12</v>
      </c>
      <c r="J46" s="12">
        <v>10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14</v>
      </c>
      <c r="C47" s="7">
        <f t="shared" si="5"/>
        <v>8</v>
      </c>
      <c r="D47" s="7">
        <f t="shared" si="6"/>
        <v>0</v>
      </c>
      <c r="E47" s="7">
        <f t="shared" si="7"/>
        <v>7</v>
      </c>
      <c r="F47" s="15">
        <v>0</v>
      </c>
      <c r="G47" s="15">
        <v>0</v>
      </c>
      <c r="H47" s="15">
        <v>1</v>
      </c>
      <c r="I47" s="11">
        <v>13</v>
      </c>
      <c r="J47" s="12">
        <v>8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14</v>
      </c>
      <c r="C48" s="7">
        <f t="shared" si="5"/>
        <v>4</v>
      </c>
      <c r="D48" s="7">
        <f t="shared" si="6"/>
        <v>0</v>
      </c>
      <c r="E48" s="7">
        <f t="shared" si="7"/>
        <v>11</v>
      </c>
      <c r="F48" s="15">
        <v>0</v>
      </c>
      <c r="G48" s="15">
        <v>0</v>
      </c>
      <c r="H48" s="15">
        <v>1</v>
      </c>
      <c r="I48" s="11">
        <v>13</v>
      </c>
      <c r="J48" s="12">
        <v>4</v>
      </c>
      <c r="K48" s="12">
        <v>0</v>
      </c>
      <c r="L48" s="12">
        <v>10</v>
      </c>
    </row>
    <row r="49" spans="1:12" ht="15.5" customHeight="1">
      <c r="A49" s="6">
        <v>29179</v>
      </c>
      <c r="B49" s="6">
        <f t="shared" si="4"/>
        <v>13</v>
      </c>
      <c r="C49" s="7">
        <f t="shared" si="5"/>
        <v>3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12</v>
      </c>
      <c r="J49" s="12">
        <v>2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14</v>
      </c>
      <c r="C52" s="7">
        <f t="shared" si="5"/>
        <v>12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13</v>
      </c>
      <c r="J52" s="12">
        <v>11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533</v>
      </c>
      <c r="C1" s="2">
        <f>SUM(C3:C1001)</f>
        <v>332</v>
      </c>
      <c r="D1" s="2">
        <f>SUM(D3:D1001)</f>
        <v>14</v>
      </c>
      <c r="E1" s="2">
        <f>SUM(E3:E1001)</f>
        <v>194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15">
        <v>0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12</v>
      </c>
      <c r="C4" s="7">
        <f t="shared" si="1"/>
        <v>5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11</v>
      </c>
      <c r="J4" s="12">
        <v>4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13</v>
      </c>
      <c r="C5" s="7">
        <f t="shared" si="1"/>
        <v>13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1">
        <v>12</v>
      </c>
      <c r="J5" s="12">
        <v>12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13</v>
      </c>
      <c r="C6" s="7">
        <f t="shared" si="1"/>
        <v>11</v>
      </c>
      <c r="D6" s="7">
        <f t="shared" si="2"/>
        <v>0</v>
      </c>
      <c r="E6" s="7">
        <f t="shared" si="3"/>
        <v>2</v>
      </c>
      <c r="F6" s="15">
        <v>1</v>
      </c>
      <c r="G6" s="15">
        <v>0</v>
      </c>
      <c r="H6" s="15">
        <v>0</v>
      </c>
      <c r="I6" s="11">
        <v>12</v>
      </c>
      <c r="J6" s="12">
        <v>10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12</v>
      </c>
      <c r="C7" s="7">
        <f t="shared" si="1"/>
        <v>10</v>
      </c>
      <c r="D7" s="7">
        <f t="shared" si="2"/>
        <v>0</v>
      </c>
      <c r="E7" s="7">
        <f t="shared" si="3"/>
        <v>2</v>
      </c>
      <c r="F7" s="15">
        <v>1</v>
      </c>
      <c r="G7" s="15">
        <v>0</v>
      </c>
      <c r="H7" s="15">
        <v>0</v>
      </c>
      <c r="I7" s="11">
        <v>11</v>
      </c>
      <c r="J7" s="12">
        <v>9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1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13</v>
      </c>
      <c r="C9" s="7">
        <f t="shared" si="1"/>
        <v>6</v>
      </c>
      <c r="D9" s="7">
        <f t="shared" si="2"/>
        <v>0</v>
      </c>
      <c r="E9" s="7">
        <f t="shared" si="3"/>
        <v>7</v>
      </c>
      <c r="F9" s="15">
        <v>1</v>
      </c>
      <c r="G9" s="15">
        <v>0</v>
      </c>
      <c r="H9" s="15">
        <v>0</v>
      </c>
      <c r="I9" s="11">
        <v>12</v>
      </c>
      <c r="J9" s="12">
        <v>5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13</v>
      </c>
      <c r="C10" s="7">
        <f t="shared" si="1"/>
        <v>9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12</v>
      </c>
      <c r="J10" s="12">
        <v>8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13</v>
      </c>
      <c r="C12" s="7">
        <f t="shared" si="1"/>
        <v>3</v>
      </c>
      <c r="D12" s="7">
        <f t="shared" si="2"/>
        <v>0</v>
      </c>
      <c r="E12" s="7">
        <f t="shared" si="3"/>
        <v>10</v>
      </c>
      <c r="F12" s="15">
        <v>0</v>
      </c>
      <c r="G12" s="15">
        <v>0</v>
      </c>
      <c r="H12" s="15">
        <v>1</v>
      </c>
      <c r="I12" s="11">
        <v>12</v>
      </c>
      <c r="J12" s="12">
        <v>3</v>
      </c>
      <c r="K12" s="12">
        <v>0</v>
      </c>
      <c r="L12" s="12">
        <v>9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13</v>
      </c>
      <c r="C14" s="7">
        <f t="shared" si="1"/>
        <v>10</v>
      </c>
      <c r="D14" s="7">
        <f t="shared" si="2"/>
        <v>1</v>
      </c>
      <c r="E14" s="7">
        <f t="shared" si="3"/>
        <v>2</v>
      </c>
      <c r="F14" s="15">
        <v>1</v>
      </c>
      <c r="G14" s="15">
        <v>0</v>
      </c>
      <c r="H14" s="15">
        <v>0</v>
      </c>
      <c r="I14" s="11">
        <v>12</v>
      </c>
      <c r="J14" s="12">
        <v>9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13</v>
      </c>
      <c r="C15" s="7">
        <f t="shared" si="1"/>
        <v>13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12</v>
      </c>
      <c r="J15" s="12">
        <v>12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11</v>
      </c>
      <c r="C16" s="7">
        <f t="shared" si="1"/>
        <v>3</v>
      </c>
      <c r="D16" s="7">
        <f t="shared" si="2"/>
        <v>0</v>
      </c>
      <c r="E16" s="7">
        <f t="shared" si="3"/>
        <v>8</v>
      </c>
      <c r="F16" s="15">
        <v>0</v>
      </c>
      <c r="G16" s="15">
        <v>0</v>
      </c>
      <c r="H16" s="15">
        <v>1</v>
      </c>
      <c r="I16" s="11">
        <v>10</v>
      </c>
      <c r="J16" s="12">
        <v>3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13</v>
      </c>
      <c r="C17" s="7">
        <f t="shared" si="1"/>
        <v>8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12</v>
      </c>
      <c r="J17" s="12">
        <v>7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10</v>
      </c>
      <c r="C19" s="7">
        <f t="shared" si="1"/>
        <v>6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9</v>
      </c>
      <c r="J19" s="12">
        <v>5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13</v>
      </c>
      <c r="C20" s="7">
        <f t="shared" si="1"/>
        <v>8</v>
      </c>
      <c r="D20" s="7">
        <f t="shared" si="2"/>
        <v>0</v>
      </c>
      <c r="E20" s="7">
        <f t="shared" si="3"/>
        <v>5</v>
      </c>
      <c r="F20" s="15">
        <v>0</v>
      </c>
      <c r="G20" s="15">
        <v>0</v>
      </c>
      <c r="H20" s="15">
        <v>1</v>
      </c>
      <c r="I20" s="11">
        <v>12</v>
      </c>
      <c r="J20" s="12">
        <v>8</v>
      </c>
      <c r="K20" s="12">
        <v>0</v>
      </c>
      <c r="L20" s="12">
        <v>4</v>
      </c>
    </row>
    <row r="21" spans="1:12" ht="18" customHeight="1">
      <c r="A21" s="6">
        <v>29151</v>
      </c>
      <c r="B21" s="6">
        <f t="shared" si="0"/>
        <v>13</v>
      </c>
      <c r="C21" s="7">
        <f t="shared" si="1"/>
        <v>13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12</v>
      </c>
      <c r="J21" s="12">
        <v>12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10</v>
      </c>
      <c r="C23" s="7">
        <f t="shared" si="1"/>
        <v>6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13</v>
      </c>
      <c r="C24" s="7">
        <f t="shared" si="1"/>
        <v>7</v>
      </c>
      <c r="D24" s="7">
        <f t="shared" si="2"/>
        <v>0</v>
      </c>
      <c r="E24" s="7">
        <f t="shared" si="3"/>
        <v>7</v>
      </c>
      <c r="F24" s="15">
        <v>0</v>
      </c>
      <c r="G24" s="15">
        <v>0</v>
      </c>
      <c r="H24" s="15">
        <v>1</v>
      </c>
      <c r="I24" s="11">
        <v>12</v>
      </c>
      <c r="J24" s="12">
        <v>7</v>
      </c>
      <c r="K24" s="12">
        <v>0</v>
      </c>
      <c r="L24" s="12">
        <v>6</v>
      </c>
    </row>
    <row r="25" spans="1:12" ht="18" customHeight="1">
      <c r="A25" s="6">
        <v>29155</v>
      </c>
      <c r="B25" s="6">
        <f t="shared" si="0"/>
        <v>13</v>
      </c>
      <c r="C25" s="7">
        <f t="shared" si="1"/>
        <v>8</v>
      </c>
      <c r="D25" s="7">
        <f t="shared" si="2"/>
        <v>0</v>
      </c>
      <c r="E25" s="7">
        <f t="shared" si="3"/>
        <v>7</v>
      </c>
      <c r="F25" s="15">
        <v>0</v>
      </c>
      <c r="G25" s="15">
        <v>0</v>
      </c>
      <c r="H25" s="15">
        <v>1</v>
      </c>
      <c r="I25" s="11">
        <v>12</v>
      </c>
      <c r="J25" s="12">
        <v>8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1</v>
      </c>
      <c r="I27" s="11">
        <v>10</v>
      </c>
      <c r="J27" s="12">
        <v>6</v>
      </c>
      <c r="K27" s="12">
        <v>1</v>
      </c>
      <c r="L27" s="12">
        <v>3</v>
      </c>
    </row>
    <row r="28" spans="1:12" ht="18" customHeight="1">
      <c r="A28" s="6">
        <v>29158</v>
      </c>
      <c r="B28" s="6">
        <f t="shared" si="0"/>
        <v>10</v>
      </c>
      <c r="C28" s="7">
        <f t="shared" si="1"/>
        <v>8</v>
      </c>
      <c r="D28" s="7">
        <f t="shared" si="2"/>
        <v>0</v>
      </c>
      <c r="E28" s="7">
        <f t="shared" si="3"/>
        <v>2</v>
      </c>
      <c r="F28" s="15">
        <v>0</v>
      </c>
      <c r="G28" s="15">
        <v>0</v>
      </c>
      <c r="H28" s="15">
        <v>1</v>
      </c>
      <c r="I28" s="11">
        <v>9</v>
      </c>
      <c r="J28" s="12">
        <v>8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13</v>
      </c>
      <c r="C29" s="7">
        <f t="shared" si="1"/>
        <v>7</v>
      </c>
      <c r="D29" s="7">
        <f t="shared" si="2"/>
        <v>1</v>
      </c>
      <c r="E29" s="7">
        <f t="shared" si="3"/>
        <v>5</v>
      </c>
      <c r="F29" s="15">
        <v>0</v>
      </c>
      <c r="G29" s="15">
        <v>0</v>
      </c>
      <c r="H29" s="15">
        <v>1</v>
      </c>
      <c r="I29" s="11">
        <v>12</v>
      </c>
      <c r="J29" s="12">
        <v>7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12</v>
      </c>
      <c r="C30" s="7">
        <f t="shared" si="1"/>
        <v>3</v>
      </c>
      <c r="D30" s="7">
        <f t="shared" si="2"/>
        <v>2</v>
      </c>
      <c r="E30" s="7">
        <f t="shared" si="3"/>
        <v>7</v>
      </c>
      <c r="F30" s="15">
        <v>1</v>
      </c>
      <c r="G30" s="15">
        <v>0</v>
      </c>
      <c r="H30" s="15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10</v>
      </c>
      <c r="J31" s="12">
        <v>8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13</v>
      </c>
      <c r="C32" s="7">
        <f t="shared" si="1"/>
        <v>6</v>
      </c>
      <c r="D32" s="7">
        <f t="shared" si="2"/>
        <v>0</v>
      </c>
      <c r="E32" s="7">
        <f t="shared" si="3"/>
        <v>7</v>
      </c>
      <c r="F32" s="15">
        <v>1</v>
      </c>
      <c r="G32" s="15">
        <v>0</v>
      </c>
      <c r="H32" s="15">
        <v>0</v>
      </c>
      <c r="I32" s="11">
        <v>12</v>
      </c>
      <c r="J32" s="12">
        <v>5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12</v>
      </c>
      <c r="C33" s="7">
        <f t="shared" si="1"/>
        <v>9</v>
      </c>
      <c r="D33" s="7">
        <f t="shared" si="2"/>
        <v>1</v>
      </c>
      <c r="E33" s="7">
        <f t="shared" si="3"/>
        <v>2</v>
      </c>
      <c r="F33" s="15">
        <v>1</v>
      </c>
      <c r="G33" s="15">
        <v>0</v>
      </c>
      <c r="H33" s="15">
        <v>0</v>
      </c>
      <c r="I33" s="11">
        <v>11</v>
      </c>
      <c r="J33" s="12">
        <v>8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13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3</v>
      </c>
      <c r="F35" s="15">
        <v>1</v>
      </c>
      <c r="G35" s="15">
        <v>0</v>
      </c>
      <c r="H35" s="15">
        <v>0</v>
      </c>
      <c r="I35" s="11">
        <v>12</v>
      </c>
      <c r="J35" s="12">
        <v>9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13</v>
      </c>
      <c r="C36" s="7">
        <f t="shared" si="5"/>
        <v>6</v>
      </c>
      <c r="D36" s="7">
        <f t="shared" si="6"/>
        <v>0</v>
      </c>
      <c r="E36" s="7">
        <f t="shared" si="7"/>
        <v>7</v>
      </c>
      <c r="F36" s="15">
        <v>0</v>
      </c>
      <c r="G36" s="15">
        <v>0</v>
      </c>
      <c r="H36" s="15">
        <v>1</v>
      </c>
      <c r="I36" s="11">
        <v>12</v>
      </c>
      <c r="J36" s="12">
        <v>6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10</v>
      </c>
      <c r="C37" s="7">
        <f t="shared" si="5"/>
        <v>7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9</v>
      </c>
      <c r="J37" s="12">
        <v>6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12</v>
      </c>
      <c r="C38" s="7">
        <f t="shared" si="5"/>
        <v>9</v>
      </c>
      <c r="D38" s="7">
        <f t="shared" si="6"/>
        <v>3</v>
      </c>
      <c r="E38" s="7">
        <f t="shared" si="7"/>
        <v>2</v>
      </c>
      <c r="F38" s="15">
        <v>0</v>
      </c>
      <c r="G38" s="15">
        <v>1</v>
      </c>
      <c r="H38" s="15">
        <v>1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10</v>
      </c>
      <c r="C39" s="7">
        <f t="shared" si="5"/>
        <v>2</v>
      </c>
      <c r="D39" s="7">
        <f t="shared" si="6"/>
        <v>0</v>
      </c>
      <c r="E39" s="7">
        <f t="shared" si="7"/>
        <v>8</v>
      </c>
      <c r="F39" s="15">
        <v>1</v>
      </c>
      <c r="G39" s="15">
        <v>0</v>
      </c>
      <c r="H39" s="15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11</v>
      </c>
      <c r="C40" s="7">
        <f t="shared" si="5"/>
        <v>6</v>
      </c>
      <c r="D40" s="7">
        <f t="shared" si="6"/>
        <v>2</v>
      </c>
      <c r="E40" s="7">
        <f t="shared" si="7"/>
        <v>3</v>
      </c>
      <c r="F40" s="15">
        <v>0</v>
      </c>
      <c r="G40" s="15">
        <v>0</v>
      </c>
      <c r="H40" s="15">
        <v>1</v>
      </c>
      <c r="I40" s="11">
        <v>10</v>
      </c>
      <c r="J40" s="12">
        <v>6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1</v>
      </c>
      <c r="I41" s="11">
        <v>10</v>
      </c>
      <c r="J41" s="12">
        <v>5</v>
      </c>
      <c r="K41" s="12">
        <v>0</v>
      </c>
      <c r="L41" s="12">
        <v>5</v>
      </c>
    </row>
    <row r="42" spans="1:12" ht="15.5" customHeight="1">
      <c r="A42" s="6">
        <v>29172</v>
      </c>
      <c r="B42" s="6">
        <f t="shared" si="4"/>
        <v>13</v>
      </c>
      <c r="C42" s="7">
        <f t="shared" si="5"/>
        <v>1</v>
      </c>
      <c r="D42" s="7">
        <f t="shared" si="6"/>
        <v>1</v>
      </c>
      <c r="E42" s="7">
        <f t="shared" si="7"/>
        <v>11</v>
      </c>
      <c r="F42" s="15">
        <v>1</v>
      </c>
      <c r="G42" s="15">
        <v>0</v>
      </c>
      <c r="H42" s="15">
        <v>0</v>
      </c>
      <c r="I42" s="11">
        <v>12</v>
      </c>
      <c r="J42" s="12">
        <v>0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5</v>
      </c>
      <c r="C44" s="7">
        <f t="shared" si="5"/>
        <v>5</v>
      </c>
      <c r="D44" s="7">
        <f t="shared" si="6"/>
        <v>0</v>
      </c>
      <c r="E44" s="7">
        <f t="shared" si="7"/>
        <v>0</v>
      </c>
      <c r="F44" s="15">
        <v>1</v>
      </c>
      <c r="G44" s="15">
        <v>0</v>
      </c>
      <c r="H44" s="15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12</v>
      </c>
      <c r="C46" s="7">
        <f t="shared" si="5"/>
        <v>10</v>
      </c>
      <c r="D46" s="7">
        <f t="shared" si="6"/>
        <v>0</v>
      </c>
      <c r="E46" s="7">
        <f t="shared" si="7"/>
        <v>2</v>
      </c>
      <c r="F46" s="15">
        <v>0</v>
      </c>
      <c r="G46" s="15">
        <v>0</v>
      </c>
      <c r="H46" s="15">
        <v>1</v>
      </c>
      <c r="I46" s="11">
        <v>11</v>
      </c>
      <c r="J46" s="12">
        <v>10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13</v>
      </c>
      <c r="C47" s="7">
        <f t="shared" si="5"/>
        <v>8</v>
      </c>
      <c r="D47" s="7">
        <f t="shared" si="6"/>
        <v>0</v>
      </c>
      <c r="E47" s="7">
        <f t="shared" si="7"/>
        <v>6</v>
      </c>
      <c r="F47" s="15">
        <v>1</v>
      </c>
      <c r="G47" s="15">
        <v>0</v>
      </c>
      <c r="H47" s="15">
        <v>0</v>
      </c>
      <c r="I47" s="11">
        <v>12</v>
      </c>
      <c r="J47" s="12">
        <v>7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13</v>
      </c>
      <c r="C48" s="7">
        <f t="shared" si="5"/>
        <v>4</v>
      </c>
      <c r="D48" s="7">
        <f t="shared" si="6"/>
        <v>0</v>
      </c>
      <c r="E48" s="7">
        <f t="shared" si="7"/>
        <v>10</v>
      </c>
      <c r="F48" s="15">
        <v>0</v>
      </c>
      <c r="G48" s="15">
        <v>0</v>
      </c>
      <c r="H48" s="15">
        <v>1</v>
      </c>
      <c r="I48" s="11">
        <v>12</v>
      </c>
      <c r="J48" s="12">
        <v>4</v>
      </c>
      <c r="K48" s="12">
        <v>0</v>
      </c>
      <c r="L48" s="12">
        <v>9</v>
      </c>
    </row>
    <row r="49" spans="1:12" ht="15.5" customHeight="1">
      <c r="A49" s="6">
        <v>29179</v>
      </c>
      <c r="B49" s="6">
        <f t="shared" si="4"/>
        <v>12</v>
      </c>
      <c r="C49" s="7">
        <f t="shared" si="5"/>
        <v>2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11</v>
      </c>
      <c r="J49" s="12">
        <v>1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13</v>
      </c>
      <c r="C52" s="7">
        <f t="shared" si="5"/>
        <v>11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12</v>
      </c>
      <c r="J52" s="12">
        <v>10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493</v>
      </c>
      <c r="C1" s="2">
        <f>SUM(C3:C1001)</f>
        <v>307</v>
      </c>
      <c r="D1" s="2">
        <f>SUM(D3:D1001)</f>
        <v>13</v>
      </c>
      <c r="E1" s="2">
        <f>SUM(E3:E1001)</f>
        <v>179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11</v>
      </c>
      <c r="J3" s="10">
        <v>10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11</v>
      </c>
      <c r="C4" s="7">
        <f t="shared" si="1"/>
        <v>4</v>
      </c>
      <c r="D4" s="7">
        <f t="shared" si="2"/>
        <v>0</v>
      </c>
      <c r="E4" s="7">
        <f t="shared" si="3"/>
        <v>7</v>
      </c>
      <c r="F4" s="29">
        <v>0</v>
      </c>
      <c r="G4" s="29">
        <v>0</v>
      </c>
      <c r="H4" s="29">
        <v>1</v>
      </c>
      <c r="I4" s="11">
        <v>10</v>
      </c>
      <c r="J4" s="12">
        <v>4</v>
      </c>
      <c r="K4" s="12">
        <v>0</v>
      </c>
      <c r="L4" s="12">
        <v>6</v>
      </c>
    </row>
    <row r="5" spans="1:12" ht="18" customHeight="1">
      <c r="A5" s="6">
        <v>29103</v>
      </c>
      <c r="B5" s="6">
        <f t="shared" si="0"/>
        <v>12</v>
      </c>
      <c r="C5" s="7">
        <f t="shared" si="1"/>
        <v>12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11</v>
      </c>
      <c r="J5" s="12">
        <v>11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12</v>
      </c>
      <c r="C6" s="7">
        <f t="shared" si="1"/>
        <v>10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11</v>
      </c>
      <c r="J6" s="12">
        <v>9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11</v>
      </c>
      <c r="C7" s="7">
        <f t="shared" si="1"/>
        <v>9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10</v>
      </c>
      <c r="J7" s="12">
        <v>8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12</v>
      </c>
      <c r="C9" s="7">
        <f t="shared" si="1"/>
        <v>5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11</v>
      </c>
      <c r="J9" s="12">
        <v>4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12</v>
      </c>
      <c r="C10" s="7">
        <f t="shared" si="1"/>
        <v>8</v>
      </c>
      <c r="D10" s="7">
        <f t="shared" si="2"/>
        <v>0</v>
      </c>
      <c r="E10" s="7">
        <f t="shared" si="3"/>
        <v>4</v>
      </c>
      <c r="F10" s="29">
        <v>1</v>
      </c>
      <c r="G10" s="29">
        <v>0</v>
      </c>
      <c r="H10" s="29">
        <v>0</v>
      </c>
      <c r="I10" s="11">
        <v>11</v>
      </c>
      <c r="J10" s="12">
        <v>7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8</v>
      </c>
      <c r="J11" s="12">
        <v>6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12</v>
      </c>
      <c r="C12" s="7">
        <f t="shared" si="1"/>
        <v>3</v>
      </c>
      <c r="D12" s="7">
        <f t="shared" si="2"/>
        <v>0</v>
      </c>
      <c r="E12" s="7">
        <f t="shared" si="3"/>
        <v>9</v>
      </c>
      <c r="F12" s="29">
        <v>0</v>
      </c>
      <c r="G12" s="29">
        <v>0</v>
      </c>
      <c r="H12" s="29">
        <v>1</v>
      </c>
      <c r="I12" s="11">
        <v>11</v>
      </c>
      <c r="J12" s="12">
        <v>3</v>
      </c>
      <c r="K12" s="12">
        <v>0</v>
      </c>
      <c r="L12" s="12">
        <v>8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12</v>
      </c>
      <c r="C14" s="7">
        <f t="shared" si="1"/>
        <v>9</v>
      </c>
      <c r="D14" s="7">
        <f t="shared" si="2"/>
        <v>1</v>
      </c>
      <c r="E14" s="7">
        <f t="shared" si="3"/>
        <v>2</v>
      </c>
      <c r="F14" s="29">
        <v>1</v>
      </c>
      <c r="G14" s="29">
        <v>0</v>
      </c>
      <c r="H14" s="29">
        <v>0</v>
      </c>
      <c r="I14" s="11">
        <v>11</v>
      </c>
      <c r="J14" s="12">
        <v>8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12</v>
      </c>
      <c r="C15" s="7">
        <f t="shared" si="1"/>
        <v>12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11</v>
      </c>
      <c r="J15" s="12">
        <v>11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10</v>
      </c>
      <c r="C16" s="7">
        <f t="shared" si="1"/>
        <v>3</v>
      </c>
      <c r="D16" s="7">
        <f t="shared" si="2"/>
        <v>0</v>
      </c>
      <c r="E16" s="7">
        <f t="shared" si="3"/>
        <v>7</v>
      </c>
      <c r="F16" s="29">
        <v>1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12</v>
      </c>
      <c r="C17" s="7">
        <f t="shared" si="1"/>
        <v>7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11</v>
      </c>
      <c r="J17" s="12">
        <v>6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9</v>
      </c>
      <c r="C19" s="7">
        <f t="shared" si="1"/>
        <v>5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8</v>
      </c>
      <c r="J19" s="12">
        <v>4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12</v>
      </c>
      <c r="C20" s="7">
        <f t="shared" si="1"/>
        <v>8</v>
      </c>
      <c r="D20" s="7">
        <f t="shared" si="2"/>
        <v>0</v>
      </c>
      <c r="E20" s="7">
        <f t="shared" si="3"/>
        <v>4</v>
      </c>
      <c r="F20" s="29">
        <v>0</v>
      </c>
      <c r="G20" s="29">
        <v>0</v>
      </c>
      <c r="H20" s="29">
        <v>1</v>
      </c>
      <c r="I20" s="11">
        <v>11</v>
      </c>
      <c r="J20" s="12">
        <v>8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12</v>
      </c>
      <c r="C21" s="7">
        <f t="shared" si="1"/>
        <v>12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11</v>
      </c>
      <c r="J21" s="12">
        <v>11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10</v>
      </c>
      <c r="J22" s="12">
        <v>6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12</v>
      </c>
      <c r="C24" s="7">
        <f t="shared" si="1"/>
        <v>7</v>
      </c>
      <c r="D24" s="7">
        <f t="shared" si="2"/>
        <v>0</v>
      </c>
      <c r="E24" s="7">
        <f t="shared" si="3"/>
        <v>6</v>
      </c>
      <c r="F24" s="29">
        <v>0</v>
      </c>
      <c r="G24" s="29">
        <v>0</v>
      </c>
      <c r="H24" s="29">
        <v>1</v>
      </c>
      <c r="I24" s="11">
        <v>11</v>
      </c>
      <c r="J24" s="12">
        <v>7</v>
      </c>
      <c r="K24" s="12">
        <v>0</v>
      </c>
      <c r="L24" s="12">
        <v>5</v>
      </c>
    </row>
    <row r="25" spans="1:12" ht="18" customHeight="1">
      <c r="A25" s="6">
        <v>29155</v>
      </c>
      <c r="B25" s="6">
        <f t="shared" si="0"/>
        <v>12</v>
      </c>
      <c r="C25" s="7">
        <f t="shared" si="1"/>
        <v>8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11</v>
      </c>
      <c r="J25" s="12">
        <v>7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29">
        <v>0</v>
      </c>
      <c r="G26" s="29">
        <v>0</v>
      </c>
      <c r="H26" s="29">
        <v>1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10</v>
      </c>
      <c r="C27" s="7">
        <f t="shared" si="1"/>
        <v>6</v>
      </c>
      <c r="D27" s="7">
        <f t="shared" si="2"/>
        <v>1</v>
      </c>
      <c r="E27" s="7">
        <f t="shared" si="3"/>
        <v>3</v>
      </c>
      <c r="F27" s="29">
        <v>0</v>
      </c>
      <c r="G27" s="29">
        <v>0</v>
      </c>
      <c r="H27" s="29">
        <v>1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9</v>
      </c>
      <c r="C28" s="7">
        <f t="shared" si="1"/>
        <v>8</v>
      </c>
      <c r="D28" s="7">
        <f t="shared" si="2"/>
        <v>0</v>
      </c>
      <c r="E28" s="7">
        <f t="shared" si="3"/>
        <v>1</v>
      </c>
      <c r="F28" s="29">
        <v>1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12</v>
      </c>
      <c r="C29" s="7">
        <f t="shared" si="1"/>
        <v>7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11</v>
      </c>
      <c r="J29" s="12">
        <v>6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0</v>
      </c>
      <c r="H30" s="29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10</v>
      </c>
      <c r="C31" s="7">
        <f t="shared" si="1"/>
        <v>8</v>
      </c>
      <c r="D31" s="7">
        <f t="shared" si="2"/>
        <v>0</v>
      </c>
      <c r="E31" s="7">
        <f t="shared" si="3"/>
        <v>2</v>
      </c>
      <c r="F31" s="29">
        <v>1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12</v>
      </c>
      <c r="C32" s="7">
        <f t="shared" si="1"/>
        <v>5</v>
      </c>
      <c r="D32" s="7">
        <f t="shared" si="2"/>
        <v>0</v>
      </c>
      <c r="E32" s="7">
        <f t="shared" si="3"/>
        <v>7</v>
      </c>
      <c r="F32" s="29">
        <v>0</v>
      </c>
      <c r="G32" s="29">
        <v>0</v>
      </c>
      <c r="H32" s="29">
        <v>1</v>
      </c>
      <c r="I32" s="11">
        <v>11</v>
      </c>
      <c r="J32" s="12">
        <v>5</v>
      </c>
      <c r="K32" s="12">
        <v>0</v>
      </c>
      <c r="L32" s="12">
        <v>6</v>
      </c>
    </row>
    <row r="33" spans="1:12" ht="15.5" customHeight="1">
      <c r="A33" s="6">
        <v>29163</v>
      </c>
      <c r="B33" s="6">
        <f t="shared" si="0"/>
        <v>11</v>
      </c>
      <c r="C33" s="7">
        <f t="shared" si="1"/>
        <v>8</v>
      </c>
      <c r="D33" s="7">
        <f t="shared" si="2"/>
        <v>1</v>
      </c>
      <c r="E33" s="7">
        <f t="shared" si="3"/>
        <v>2</v>
      </c>
      <c r="F33" s="29">
        <v>1</v>
      </c>
      <c r="G33" s="29">
        <v>0</v>
      </c>
      <c r="H33" s="29">
        <v>0</v>
      </c>
      <c r="I33" s="11">
        <v>10</v>
      </c>
      <c r="J33" s="12">
        <v>7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12</v>
      </c>
      <c r="C35" s="7">
        <f t="shared" ref="C35:C52" si="5">F35+J35</f>
        <v>9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11</v>
      </c>
      <c r="J35" s="12">
        <v>8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12</v>
      </c>
      <c r="C36" s="7">
        <f t="shared" si="5"/>
        <v>6</v>
      </c>
      <c r="D36" s="7">
        <f t="shared" si="6"/>
        <v>0</v>
      </c>
      <c r="E36" s="7">
        <f t="shared" si="7"/>
        <v>6</v>
      </c>
      <c r="F36" s="29">
        <v>1</v>
      </c>
      <c r="G36" s="29">
        <v>0</v>
      </c>
      <c r="H36" s="29">
        <v>0</v>
      </c>
      <c r="I36" s="11">
        <v>11</v>
      </c>
      <c r="J36" s="12">
        <v>5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9</v>
      </c>
      <c r="C37" s="7">
        <f t="shared" si="5"/>
        <v>6</v>
      </c>
      <c r="D37" s="7">
        <f t="shared" si="6"/>
        <v>0</v>
      </c>
      <c r="E37" s="7">
        <f t="shared" si="7"/>
        <v>3</v>
      </c>
      <c r="F37" s="29">
        <v>1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0</v>
      </c>
      <c r="G38" s="29">
        <v>0</v>
      </c>
      <c r="H38" s="29">
        <v>0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10</v>
      </c>
      <c r="C40" s="7">
        <f t="shared" si="5"/>
        <v>6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9</v>
      </c>
      <c r="J40" s="12">
        <v>5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10</v>
      </c>
      <c r="C41" s="7">
        <f t="shared" si="5"/>
        <v>5</v>
      </c>
      <c r="D41" s="7">
        <f t="shared" si="6"/>
        <v>0</v>
      </c>
      <c r="E41" s="7">
        <f t="shared" si="7"/>
        <v>5</v>
      </c>
      <c r="F41" s="29">
        <v>0</v>
      </c>
      <c r="G41" s="29">
        <v>0</v>
      </c>
      <c r="H41" s="29">
        <v>1</v>
      </c>
      <c r="I41" s="11">
        <v>9</v>
      </c>
      <c r="J41" s="12">
        <v>5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12</v>
      </c>
      <c r="C42" s="7">
        <f t="shared" si="5"/>
        <v>0</v>
      </c>
      <c r="D42" s="7">
        <f t="shared" si="6"/>
        <v>1</v>
      </c>
      <c r="E42" s="7">
        <f t="shared" si="7"/>
        <v>11</v>
      </c>
      <c r="F42" s="29">
        <v>0</v>
      </c>
      <c r="G42" s="29">
        <v>0</v>
      </c>
      <c r="H42" s="29">
        <v>1</v>
      </c>
      <c r="I42" s="11">
        <v>11</v>
      </c>
      <c r="J42" s="12">
        <v>0</v>
      </c>
      <c r="K42" s="12">
        <v>1</v>
      </c>
      <c r="L42" s="12">
        <v>10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11</v>
      </c>
      <c r="C46" s="7">
        <f t="shared" si="5"/>
        <v>10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10</v>
      </c>
      <c r="J46" s="12">
        <v>9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12</v>
      </c>
      <c r="C47" s="7">
        <f t="shared" si="5"/>
        <v>7</v>
      </c>
      <c r="D47" s="7">
        <f t="shared" si="6"/>
        <v>0</v>
      </c>
      <c r="E47" s="7">
        <f t="shared" si="7"/>
        <v>6</v>
      </c>
      <c r="F47" s="29">
        <v>1</v>
      </c>
      <c r="G47" s="29">
        <v>0</v>
      </c>
      <c r="H47" s="29">
        <v>0</v>
      </c>
      <c r="I47" s="11">
        <v>11</v>
      </c>
      <c r="J47" s="12">
        <v>6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12</v>
      </c>
      <c r="C48" s="7">
        <f t="shared" si="5"/>
        <v>4</v>
      </c>
      <c r="D48" s="7">
        <f t="shared" si="6"/>
        <v>0</v>
      </c>
      <c r="E48" s="7">
        <f t="shared" si="7"/>
        <v>9</v>
      </c>
      <c r="F48" s="29">
        <v>0</v>
      </c>
      <c r="G48" s="29">
        <v>0</v>
      </c>
      <c r="H48" s="29">
        <v>1</v>
      </c>
      <c r="I48" s="11">
        <v>11</v>
      </c>
      <c r="J48" s="12">
        <v>4</v>
      </c>
      <c r="K48" s="12">
        <v>0</v>
      </c>
      <c r="L48" s="12">
        <v>8</v>
      </c>
    </row>
    <row r="49" spans="1:12" ht="15.5" customHeight="1">
      <c r="A49" s="6">
        <v>29179</v>
      </c>
      <c r="B49" s="6">
        <f t="shared" si="4"/>
        <v>11</v>
      </c>
      <c r="C49" s="7">
        <f t="shared" si="5"/>
        <v>1</v>
      </c>
      <c r="D49" s="7">
        <f t="shared" si="6"/>
        <v>0</v>
      </c>
      <c r="E49" s="7">
        <f t="shared" si="7"/>
        <v>10</v>
      </c>
      <c r="F49" s="29">
        <v>0</v>
      </c>
      <c r="G49" s="29">
        <v>0</v>
      </c>
      <c r="H49" s="29">
        <v>1</v>
      </c>
      <c r="I49" s="11">
        <v>10</v>
      </c>
      <c r="J49" s="12">
        <v>1</v>
      </c>
      <c r="K49" s="12">
        <v>0</v>
      </c>
      <c r="L49" s="12">
        <v>9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12</v>
      </c>
      <c r="C52" s="7">
        <f t="shared" si="5"/>
        <v>10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11</v>
      </c>
      <c r="J52" s="12">
        <v>9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454</v>
      </c>
      <c r="C1" s="2">
        <f>SUM(C3:C1001)</f>
        <v>279</v>
      </c>
      <c r="D1" s="2">
        <f>SUM(D3:D1001)</f>
        <v>13</v>
      </c>
      <c r="E1" s="2">
        <f>SUM(E3:E1001)</f>
        <v>168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11</v>
      </c>
      <c r="C3" s="7">
        <f t="shared" ref="C3:C34" si="1">F3+J3</f>
        <v>10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10</v>
      </c>
      <c r="J3" s="10">
        <v>9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10</v>
      </c>
      <c r="C4" s="7">
        <f t="shared" si="1"/>
        <v>4</v>
      </c>
      <c r="D4" s="7">
        <f t="shared" si="2"/>
        <v>0</v>
      </c>
      <c r="E4" s="7">
        <f t="shared" si="3"/>
        <v>6</v>
      </c>
      <c r="F4" s="29">
        <v>0</v>
      </c>
      <c r="G4" s="29">
        <v>0</v>
      </c>
      <c r="H4" s="29">
        <v>1</v>
      </c>
      <c r="I4" s="11">
        <v>9</v>
      </c>
      <c r="J4" s="12">
        <v>4</v>
      </c>
      <c r="K4" s="12">
        <v>0</v>
      </c>
      <c r="L4" s="12">
        <v>5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0</v>
      </c>
      <c r="G5" s="29">
        <v>0</v>
      </c>
      <c r="H5" s="29">
        <v>0</v>
      </c>
      <c r="I5" s="11">
        <v>10</v>
      </c>
      <c r="J5" s="12">
        <v>10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11</v>
      </c>
      <c r="C6" s="7">
        <f t="shared" si="1"/>
        <v>9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10</v>
      </c>
      <c r="J6" s="12">
        <v>8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10</v>
      </c>
      <c r="C7" s="7">
        <f t="shared" si="1"/>
        <v>8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9</v>
      </c>
      <c r="J7" s="12">
        <v>7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11</v>
      </c>
      <c r="C9" s="7">
        <f t="shared" si="1"/>
        <v>4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10</v>
      </c>
      <c r="J9" s="12">
        <v>3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11</v>
      </c>
      <c r="C10" s="7">
        <f t="shared" si="1"/>
        <v>7</v>
      </c>
      <c r="D10" s="7">
        <f t="shared" si="2"/>
        <v>0</v>
      </c>
      <c r="E10" s="7">
        <f t="shared" si="3"/>
        <v>4</v>
      </c>
      <c r="F10" s="29">
        <v>0</v>
      </c>
      <c r="G10" s="29">
        <v>0</v>
      </c>
      <c r="H10" s="29">
        <v>1</v>
      </c>
      <c r="I10" s="11">
        <v>10</v>
      </c>
      <c r="J10" s="12">
        <v>7</v>
      </c>
      <c r="K10" s="12">
        <v>0</v>
      </c>
      <c r="L10" s="12">
        <v>3</v>
      </c>
    </row>
    <row r="11" spans="1:12" ht="18" customHeight="1">
      <c r="A11" s="6">
        <v>29109</v>
      </c>
      <c r="B11" s="6">
        <f t="shared" si="0"/>
        <v>8</v>
      </c>
      <c r="C11" s="7">
        <f t="shared" si="1"/>
        <v>6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11</v>
      </c>
      <c r="C12" s="7">
        <f t="shared" si="1"/>
        <v>3</v>
      </c>
      <c r="D12" s="7">
        <f t="shared" si="2"/>
        <v>0</v>
      </c>
      <c r="E12" s="7">
        <f t="shared" si="3"/>
        <v>8</v>
      </c>
      <c r="F12" s="29">
        <v>0</v>
      </c>
      <c r="G12" s="29">
        <v>0</v>
      </c>
      <c r="H12" s="29">
        <v>1</v>
      </c>
      <c r="I12" s="11">
        <v>10</v>
      </c>
      <c r="J12" s="12">
        <v>3</v>
      </c>
      <c r="K12" s="12">
        <v>0</v>
      </c>
      <c r="L12" s="12">
        <v>7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11</v>
      </c>
      <c r="C14" s="7">
        <f t="shared" si="1"/>
        <v>8</v>
      </c>
      <c r="D14" s="7">
        <f t="shared" si="2"/>
        <v>1</v>
      </c>
      <c r="E14" s="7">
        <f t="shared" si="3"/>
        <v>2</v>
      </c>
      <c r="F14" s="29">
        <v>0</v>
      </c>
      <c r="G14" s="29">
        <v>0</v>
      </c>
      <c r="H14" s="29">
        <v>1</v>
      </c>
      <c r="I14" s="11">
        <v>10</v>
      </c>
      <c r="J14" s="12">
        <v>8</v>
      </c>
      <c r="K14" s="12">
        <v>1</v>
      </c>
      <c r="L14" s="12">
        <v>1</v>
      </c>
    </row>
    <row r="15" spans="1:12" ht="18" customHeight="1">
      <c r="A15" s="6">
        <v>29113</v>
      </c>
      <c r="B15" s="6">
        <f t="shared" si="0"/>
        <v>11</v>
      </c>
      <c r="C15" s="7">
        <f t="shared" si="1"/>
        <v>11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10</v>
      </c>
      <c r="J15" s="12">
        <v>10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11</v>
      </c>
      <c r="C17" s="7">
        <f t="shared" si="1"/>
        <v>6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10</v>
      </c>
      <c r="J17" s="12">
        <v>5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8</v>
      </c>
      <c r="C19" s="7">
        <f t="shared" si="1"/>
        <v>4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7</v>
      </c>
      <c r="J19" s="12">
        <v>3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11</v>
      </c>
      <c r="C20" s="7">
        <f t="shared" si="1"/>
        <v>8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10</v>
      </c>
      <c r="J20" s="12">
        <v>7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11</v>
      </c>
      <c r="C21" s="7">
        <f t="shared" si="1"/>
        <v>11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10</v>
      </c>
      <c r="J21" s="12">
        <v>10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10</v>
      </c>
      <c r="C22" s="7">
        <f t="shared" si="1"/>
        <v>6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9</v>
      </c>
      <c r="J22" s="12">
        <v>5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1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11</v>
      </c>
      <c r="C24" s="7">
        <f t="shared" si="1"/>
        <v>7</v>
      </c>
      <c r="D24" s="7">
        <f t="shared" si="2"/>
        <v>0</v>
      </c>
      <c r="E24" s="7">
        <f t="shared" si="3"/>
        <v>5</v>
      </c>
      <c r="F24" s="29">
        <v>0</v>
      </c>
      <c r="G24" s="29">
        <v>0</v>
      </c>
      <c r="H24" s="29">
        <v>1</v>
      </c>
      <c r="I24" s="11">
        <v>10</v>
      </c>
      <c r="J24" s="12">
        <v>7</v>
      </c>
      <c r="K24" s="12">
        <v>0</v>
      </c>
      <c r="L24" s="12">
        <v>4</v>
      </c>
    </row>
    <row r="25" spans="1:12" ht="18" customHeight="1">
      <c r="A25" s="6">
        <v>29155</v>
      </c>
      <c r="B25" s="6">
        <f t="shared" si="0"/>
        <v>11</v>
      </c>
      <c r="C25" s="7">
        <f t="shared" si="1"/>
        <v>7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10</v>
      </c>
      <c r="J25" s="12">
        <v>6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0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11</v>
      </c>
      <c r="C29" s="7">
        <f t="shared" si="1"/>
        <v>6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10</v>
      </c>
      <c r="J29" s="12">
        <v>5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10</v>
      </c>
      <c r="J30" s="12">
        <v>2</v>
      </c>
      <c r="K30" s="12">
        <v>1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11</v>
      </c>
      <c r="C32" s="7">
        <f t="shared" si="1"/>
        <v>5</v>
      </c>
      <c r="D32" s="7">
        <f t="shared" si="2"/>
        <v>0</v>
      </c>
      <c r="E32" s="7">
        <f t="shared" si="3"/>
        <v>6</v>
      </c>
      <c r="F32" s="29">
        <v>0</v>
      </c>
      <c r="G32" s="29">
        <v>0</v>
      </c>
      <c r="H32" s="29">
        <v>1</v>
      </c>
      <c r="I32" s="11">
        <v>10</v>
      </c>
      <c r="J32" s="12">
        <v>5</v>
      </c>
      <c r="K32" s="12">
        <v>0</v>
      </c>
      <c r="L32" s="12">
        <v>5</v>
      </c>
    </row>
    <row r="33" spans="1:12" ht="15.5" customHeight="1">
      <c r="A33" s="6">
        <v>29163</v>
      </c>
      <c r="B33" s="6">
        <f t="shared" si="0"/>
        <v>10</v>
      </c>
      <c r="C33" s="7">
        <f t="shared" si="1"/>
        <v>7</v>
      </c>
      <c r="D33" s="7">
        <f t="shared" si="2"/>
        <v>1</v>
      </c>
      <c r="E33" s="7">
        <f t="shared" si="3"/>
        <v>2</v>
      </c>
      <c r="F33" s="29">
        <v>0</v>
      </c>
      <c r="G33" s="29">
        <v>0</v>
      </c>
      <c r="H33" s="29">
        <v>1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11</v>
      </c>
      <c r="C35" s="7">
        <f t="shared" ref="C35:C52" si="5">F35+J35</f>
        <v>8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10</v>
      </c>
      <c r="J35" s="12">
        <v>7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11</v>
      </c>
      <c r="C36" s="7">
        <f t="shared" si="5"/>
        <v>5</v>
      </c>
      <c r="D36" s="7">
        <f t="shared" si="6"/>
        <v>0</v>
      </c>
      <c r="E36" s="7">
        <f t="shared" si="7"/>
        <v>6</v>
      </c>
      <c r="F36" s="29">
        <v>0</v>
      </c>
      <c r="G36" s="29">
        <v>0</v>
      </c>
      <c r="H36" s="29">
        <v>1</v>
      </c>
      <c r="I36" s="11">
        <v>10</v>
      </c>
      <c r="J36" s="12">
        <v>5</v>
      </c>
      <c r="K36" s="12">
        <v>0</v>
      </c>
      <c r="L36" s="12">
        <v>5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10</v>
      </c>
      <c r="J38" s="12">
        <v>8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1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9</v>
      </c>
      <c r="C40" s="7">
        <f t="shared" si="5"/>
        <v>5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8</v>
      </c>
      <c r="J40" s="12">
        <v>4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9</v>
      </c>
      <c r="C41" s="7">
        <f t="shared" si="5"/>
        <v>5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11</v>
      </c>
      <c r="C42" s="7">
        <f t="shared" si="5"/>
        <v>0</v>
      </c>
      <c r="D42" s="7">
        <f t="shared" si="6"/>
        <v>1</v>
      </c>
      <c r="E42" s="7">
        <f t="shared" si="7"/>
        <v>10</v>
      </c>
      <c r="F42" s="29">
        <v>0</v>
      </c>
      <c r="G42" s="29">
        <v>0</v>
      </c>
      <c r="H42" s="29">
        <v>1</v>
      </c>
      <c r="I42" s="11">
        <v>10</v>
      </c>
      <c r="J42" s="12">
        <v>0</v>
      </c>
      <c r="K42" s="12">
        <v>1</v>
      </c>
      <c r="L42" s="12">
        <v>9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10</v>
      </c>
      <c r="C46" s="7">
        <f t="shared" si="5"/>
        <v>9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11</v>
      </c>
      <c r="C47" s="7">
        <f t="shared" si="5"/>
        <v>6</v>
      </c>
      <c r="D47" s="7">
        <f t="shared" si="6"/>
        <v>0</v>
      </c>
      <c r="E47" s="7">
        <f t="shared" si="7"/>
        <v>6</v>
      </c>
      <c r="F47" s="29">
        <v>0</v>
      </c>
      <c r="G47" s="29">
        <v>0</v>
      </c>
      <c r="H47" s="29">
        <v>1</v>
      </c>
      <c r="I47" s="11">
        <v>10</v>
      </c>
      <c r="J47" s="12">
        <v>6</v>
      </c>
      <c r="K47" s="12">
        <v>0</v>
      </c>
      <c r="L47" s="12">
        <v>5</v>
      </c>
    </row>
    <row r="48" spans="1:12" ht="15.5" customHeight="1">
      <c r="A48" s="6">
        <v>29178</v>
      </c>
      <c r="B48" s="6">
        <f t="shared" si="4"/>
        <v>11</v>
      </c>
      <c r="C48" s="7">
        <f t="shared" si="5"/>
        <v>4</v>
      </c>
      <c r="D48" s="7">
        <f t="shared" si="6"/>
        <v>0</v>
      </c>
      <c r="E48" s="7">
        <f t="shared" si="7"/>
        <v>8</v>
      </c>
      <c r="F48" s="29">
        <v>0</v>
      </c>
      <c r="G48" s="29">
        <v>0</v>
      </c>
      <c r="H48" s="29">
        <v>1</v>
      </c>
      <c r="I48" s="11">
        <v>10</v>
      </c>
      <c r="J48" s="12">
        <v>4</v>
      </c>
      <c r="K48" s="12">
        <v>0</v>
      </c>
      <c r="L48" s="12">
        <v>7</v>
      </c>
    </row>
    <row r="49" spans="1:12" ht="15.5" customHeight="1">
      <c r="A49" s="6">
        <v>29179</v>
      </c>
      <c r="B49" s="6">
        <f t="shared" si="4"/>
        <v>10</v>
      </c>
      <c r="C49" s="7">
        <f t="shared" si="5"/>
        <v>1</v>
      </c>
      <c r="D49" s="7">
        <f t="shared" si="6"/>
        <v>0</v>
      </c>
      <c r="E49" s="7">
        <f t="shared" si="7"/>
        <v>9</v>
      </c>
      <c r="F49" s="29">
        <v>0</v>
      </c>
      <c r="G49" s="29">
        <v>0</v>
      </c>
      <c r="H49" s="29">
        <v>1</v>
      </c>
      <c r="I49" s="11">
        <v>9</v>
      </c>
      <c r="J49" s="12">
        <v>1</v>
      </c>
      <c r="K49" s="12">
        <v>0</v>
      </c>
      <c r="L49" s="12">
        <v>8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11</v>
      </c>
      <c r="C52" s="7">
        <f t="shared" si="5"/>
        <v>9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10</v>
      </c>
      <c r="J52" s="12">
        <v>8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419</v>
      </c>
      <c r="C1" s="2">
        <f>SUM(C3:C1001)</f>
        <v>259</v>
      </c>
      <c r="D1" s="2">
        <f>SUM(D3:D1001)</f>
        <v>12</v>
      </c>
      <c r="E1" s="2">
        <f>SUM(E3:E1001)</f>
        <v>154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10</v>
      </c>
      <c r="C3" s="7">
        <f t="shared" ref="C3:C34" si="1">F3+J3</f>
        <v>9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9</v>
      </c>
      <c r="J3" s="10">
        <v>8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9</v>
      </c>
      <c r="C4" s="7">
        <f t="shared" si="1"/>
        <v>4</v>
      </c>
      <c r="D4" s="7">
        <f t="shared" si="2"/>
        <v>0</v>
      </c>
      <c r="E4" s="7">
        <f t="shared" si="3"/>
        <v>5</v>
      </c>
      <c r="F4" s="29">
        <v>0</v>
      </c>
      <c r="G4" s="29">
        <v>0</v>
      </c>
      <c r="H4" s="29">
        <v>1</v>
      </c>
      <c r="I4" s="11">
        <v>8</v>
      </c>
      <c r="J4" s="12">
        <v>4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9</v>
      </c>
      <c r="J5" s="12">
        <v>9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10</v>
      </c>
      <c r="C6" s="7">
        <f t="shared" si="1"/>
        <v>8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9</v>
      </c>
      <c r="J6" s="12">
        <v>7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9</v>
      </c>
      <c r="C7" s="7">
        <f t="shared" si="1"/>
        <v>7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5</v>
      </c>
      <c r="J8" s="12">
        <v>3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10</v>
      </c>
      <c r="C9" s="7">
        <f t="shared" si="1"/>
        <v>3</v>
      </c>
      <c r="D9" s="7">
        <f t="shared" si="2"/>
        <v>0</v>
      </c>
      <c r="E9" s="7">
        <f t="shared" si="3"/>
        <v>7</v>
      </c>
      <c r="F9" s="29">
        <v>0</v>
      </c>
      <c r="G9" s="29">
        <v>0</v>
      </c>
      <c r="H9" s="29">
        <v>1</v>
      </c>
      <c r="I9" s="11">
        <v>9</v>
      </c>
      <c r="J9" s="12">
        <v>3</v>
      </c>
      <c r="K9" s="12">
        <v>0</v>
      </c>
      <c r="L9" s="12">
        <v>6</v>
      </c>
    </row>
    <row r="10" spans="1:12" ht="18" customHeight="1">
      <c r="A10" s="6">
        <v>29108</v>
      </c>
      <c r="B10" s="6">
        <f t="shared" si="0"/>
        <v>10</v>
      </c>
      <c r="C10" s="7">
        <f t="shared" si="1"/>
        <v>7</v>
      </c>
      <c r="D10" s="7">
        <f t="shared" si="2"/>
        <v>0</v>
      </c>
      <c r="E10" s="7">
        <f t="shared" si="3"/>
        <v>3</v>
      </c>
      <c r="F10" s="29">
        <v>0</v>
      </c>
      <c r="G10" s="29">
        <v>0</v>
      </c>
      <c r="H10" s="29">
        <v>1</v>
      </c>
      <c r="I10" s="11">
        <v>9</v>
      </c>
      <c r="J10" s="12">
        <v>7</v>
      </c>
      <c r="K10" s="12">
        <v>0</v>
      </c>
      <c r="L10" s="12">
        <v>2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10</v>
      </c>
      <c r="C12" s="7">
        <f t="shared" si="1"/>
        <v>3</v>
      </c>
      <c r="D12" s="7">
        <f t="shared" si="2"/>
        <v>0</v>
      </c>
      <c r="E12" s="7">
        <f t="shared" si="3"/>
        <v>7</v>
      </c>
      <c r="F12" s="29">
        <v>0</v>
      </c>
      <c r="G12" s="29">
        <v>0</v>
      </c>
      <c r="H12" s="29">
        <v>1</v>
      </c>
      <c r="I12" s="11">
        <v>9</v>
      </c>
      <c r="J12" s="12">
        <v>3</v>
      </c>
      <c r="K12" s="12">
        <v>0</v>
      </c>
      <c r="L12" s="12">
        <v>6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10</v>
      </c>
      <c r="C14" s="7">
        <f t="shared" si="1"/>
        <v>8</v>
      </c>
      <c r="D14" s="7">
        <f t="shared" si="2"/>
        <v>1</v>
      </c>
      <c r="E14" s="7">
        <f t="shared" si="3"/>
        <v>1</v>
      </c>
      <c r="F14" s="29">
        <v>0</v>
      </c>
      <c r="G14" s="29">
        <v>0</v>
      </c>
      <c r="H14" s="29">
        <v>1</v>
      </c>
      <c r="I14" s="11">
        <v>9</v>
      </c>
      <c r="J14" s="12">
        <v>8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10</v>
      </c>
      <c r="C15" s="7">
        <f t="shared" si="1"/>
        <v>10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9</v>
      </c>
      <c r="J15" s="12">
        <v>9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1</v>
      </c>
      <c r="I16" s="11">
        <v>8</v>
      </c>
      <c r="J16" s="12">
        <v>2</v>
      </c>
      <c r="K16" s="12">
        <v>0</v>
      </c>
      <c r="L16" s="12">
        <v>6</v>
      </c>
    </row>
    <row r="17" spans="1:12" ht="18" customHeight="1">
      <c r="A17" s="6">
        <v>29115</v>
      </c>
      <c r="B17" s="6">
        <f t="shared" si="0"/>
        <v>10</v>
      </c>
      <c r="C17" s="7">
        <f t="shared" si="1"/>
        <v>5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9</v>
      </c>
      <c r="J17" s="12">
        <v>4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7</v>
      </c>
      <c r="C19" s="7">
        <f t="shared" si="1"/>
        <v>3</v>
      </c>
      <c r="D19" s="7">
        <f t="shared" si="2"/>
        <v>0</v>
      </c>
      <c r="E19" s="7">
        <f t="shared" si="3"/>
        <v>4</v>
      </c>
      <c r="F19" s="29">
        <v>0</v>
      </c>
      <c r="G19" s="29">
        <v>0</v>
      </c>
      <c r="H19" s="29">
        <v>1</v>
      </c>
      <c r="I19" s="11">
        <v>6</v>
      </c>
      <c r="J19" s="12">
        <v>3</v>
      </c>
      <c r="K19" s="12">
        <v>0</v>
      </c>
      <c r="L19" s="12">
        <v>3</v>
      </c>
    </row>
    <row r="20" spans="1:12" ht="18" customHeight="1">
      <c r="A20" s="6">
        <v>29118</v>
      </c>
      <c r="B20" s="6">
        <f t="shared" si="0"/>
        <v>10</v>
      </c>
      <c r="C20" s="7">
        <f t="shared" si="1"/>
        <v>7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9</v>
      </c>
      <c r="J20" s="12">
        <v>6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10</v>
      </c>
      <c r="C21" s="7">
        <f t="shared" si="1"/>
        <v>10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9</v>
      </c>
      <c r="J21" s="12">
        <v>9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9</v>
      </c>
      <c r="C22" s="7">
        <f t="shared" si="1"/>
        <v>5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0</v>
      </c>
      <c r="G23" s="29">
        <v>0</v>
      </c>
      <c r="H23" s="29">
        <v>0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10</v>
      </c>
      <c r="C24" s="7">
        <f t="shared" si="1"/>
        <v>7</v>
      </c>
      <c r="D24" s="7">
        <f t="shared" si="2"/>
        <v>0</v>
      </c>
      <c r="E24" s="7">
        <f t="shared" si="3"/>
        <v>4</v>
      </c>
      <c r="F24" s="29">
        <v>1</v>
      </c>
      <c r="G24" s="29">
        <v>0</v>
      </c>
      <c r="H24" s="29">
        <v>1</v>
      </c>
      <c r="I24" s="11">
        <v>9</v>
      </c>
      <c r="J24" s="12">
        <v>6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10</v>
      </c>
      <c r="C25" s="7">
        <f t="shared" si="1"/>
        <v>6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9</v>
      </c>
      <c r="J25" s="12">
        <v>5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1</v>
      </c>
      <c r="G27" s="29">
        <v>0</v>
      </c>
      <c r="H27" s="29">
        <v>0</v>
      </c>
      <c r="I27" s="11">
        <v>8</v>
      </c>
      <c r="J27" s="12">
        <v>5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1</v>
      </c>
      <c r="I28" s="11">
        <v>7</v>
      </c>
      <c r="J28" s="12">
        <v>7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10</v>
      </c>
      <c r="C29" s="7">
        <f t="shared" si="1"/>
        <v>5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9</v>
      </c>
      <c r="J29" s="12">
        <v>4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10</v>
      </c>
      <c r="C30" s="7">
        <f t="shared" si="1"/>
        <v>2</v>
      </c>
      <c r="D30" s="7">
        <f t="shared" si="2"/>
        <v>1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9</v>
      </c>
      <c r="J30" s="12">
        <v>2</v>
      </c>
      <c r="K30" s="12">
        <v>0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10</v>
      </c>
      <c r="C32" s="7">
        <f t="shared" si="1"/>
        <v>5</v>
      </c>
      <c r="D32" s="7">
        <f t="shared" si="2"/>
        <v>0</v>
      </c>
      <c r="E32" s="7">
        <f t="shared" si="3"/>
        <v>5</v>
      </c>
      <c r="F32" s="29">
        <v>0</v>
      </c>
      <c r="G32" s="29">
        <v>0</v>
      </c>
      <c r="H32" s="29">
        <v>1</v>
      </c>
      <c r="I32" s="11">
        <v>9</v>
      </c>
      <c r="J32" s="12">
        <v>5</v>
      </c>
      <c r="K32" s="12">
        <v>0</v>
      </c>
      <c r="L32" s="12">
        <v>4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0</v>
      </c>
      <c r="G33" s="29">
        <v>0</v>
      </c>
      <c r="H33" s="29">
        <v>0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10</v>
      </c>
      <c r="C35" s="7">
        <f t="shared" ref="C35:C52" si="5">F35+J35</f>
        <v>7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9</v>
      </c>
      <c r="J35" s="12">
        <v>6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10</v>
      </c>
      <c r="C36" s="7">
        <f t="shared" si="5"/>
        <v>5</v>
      </c>
      <c r="D36" s="7">
        <f t="shared" si="6"/>
        <v>0</v>
      </c>
      <c r="E36" s="7">
        <f t="shared" si="7"/>
        <v>5</v>
      </c>
      <c r="F36" s="29">
        <v>0</v>
      </c>
      <c r="G36" s="29">
        <v>0</v>
      </c>
      <c r="H36" s="29">
        <v>1</v>
      </c>
      <c r="I36" s="11">
        <v>9</v>
      </c>
      <c r="J36" s="12">
        <v>5</v>
      </c>
      <c r="K36" s="12">
        <v>0</v>
      </c>
      <c r="L36" s="12">
        <v>4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10</v>
      </c>
      <c r="C38" s="7">
        <f t="shared" si="5"/>
        <v>8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9</v>
      </c>
      <c r="J38" s="12">
        <v>7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0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8</v>
      </c>
      <c r="C40" s="7">
        <f t="shared" si="5"/>
        <v>4</v>
      </c>
      <c r="D40" s="7">
        <f t="shared" si="6"/>
        <v>2</v>
      </c>
      <c r="E40" s="7">
        <f t="shared" si="7"/>
        <v>2</v>
      </c>
      <c r="F40" s="29">
        <v>0</v>
      </c>
      <c r="G40" s="29">
        <v>0</v>
      </c>
      <c r="H40" s="29">
        <v>1</v>
      </c>
      <c r="I40" s="11">
        <v>7</v>
      </c>
      <c r="J40" s="12">
        <v>4</v>
      </c>
      <c r="K40" s="12">
        <v>2</v>
      </c>
      <c r="L40" s="12">
        <v>1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0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10</v>
      </c>
      <c r="C42" s="7">
        <f t="shared" si="5"/>
        <v>0</v>
      </c>
      <c r="D42" s="7">
        <f t="shared" si="6"/>
        <v>1</v>
      </c>
      <c r="E42" s="7">
        <f t="shared" si="7"/>
        <v>9</v>
      </c>
      <c r="F42" s="29">
        <v>0</v>
      </c>
      <c r="G42" s="29">
        <v>0</v>
      </c>
      <c r="H42" s="29">
        <v>1</v>
      </c>
      <c r="I42" s="11">
        <v>9</v>
      </c>
      <c r="J42" s="12">
        <v>0</v>
      </c>
      <c r="K42" s="12">
        <v>1</v>
      </c>
      <c r="L42" s="12">
        <v>8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6</v>
      </c>
      <c r="J43" s="12">
        <v>6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3</v>
      </c>
      <c r="J44" s="12">
        <v>3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6</v>
      </c>
      <c r="J45" s="12">
        <v>5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0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10</v>
      </c>
      <c r="C47" s="7">
        <f t="shared" si="5"/>
        <v>6</v>
      </c>
      <c r="D47" s="7">
        <f t="shared" si="6"/>
        <v>0</v>
      </c>
      <c r="E47" s="7">
        <f t="shared" si="7"/>
        <v>5</v>
      </c>
      <c r="F47" s="29">
        <v>0</v>
      </c>
      <c r="G47" s="29">
        <v>0</v>
      </c>
      <c r="H47" s="29">
        <v>1</v>
      </c>
      <c r="I47" s="11">
        <v>9</v>
      </c>
      <c r="J47" s="12">
        <v>6</v>
      </c>
      <c r="K47" s="12">
        <v>0</v>
      </c>
      <c r="L47" s="12">
        <v>4</v>
      </c>
    </row>
    <row r="48" spans="1:12" ht="15.5" customHeight="1">
      <c r="A48" s="6">
        <v>29178</v>
      </c>
      <c r="B48" s="6">
        <f t="shared" si="4"/>
        <v>10</v>
      </c>
      <c r="C48" s="7">
        <f t="shared" si="5"/>
        <v>4</v>
      </c>
      <c r="D48" s="7">
        <f t="shared" si="6"/>
        <v>0</v>
      </c>
      <c r="E48" s="7">
        <f t="shared" si="7"/>
        <v>7</v>
      </c>
      <c r="F48" s="29">
        <v>0</v>
      </c>
      <c r="G48" s="29">
        <v>0</v>
      </c>
      <c r="H48" s="29">
        <v>1</v>
      </c>
      <c r="I48" s="11">
        <v>9</v>
      </c>
      <c r="J48" s="12">
        <v>4</v>
      </c>
      <c r="K48" s="12">
        <v>0</v>
      </c>
      <c r="L48" s="12">
        <v>6</v>
      </c>
    </row>
    <row r="49" spans="1:12" ht="15.5" customHeight="1">
      <c r="A49" s="6">
        <v>29179</v>
      </c>
      <c r="B49" s="6">
        <f t="shared" si="4"/>
        <v>9</v>
      </c>
      <c r="C49" s="7">
        <f t="shared" si="5"/>
        <v>1</v>
      </c>
      <c r="D49" s="7">
        <f t="shared" si="6"/>
        <v>0</v>
      </c>
      <c r="E49" s="7">
        <f t="shared" si="7"/>
        <v>8</v>
      </c>
      <c r="F49" s="29">
        <v>0</v>
      </c>
      <c r="G49" s="29">
        <v>0</v>
      </c>
      <c r="H49" s="29">
        <v>1</v>
      </c>
      <c r="I49" s="11">
        <v>8</v>
      </c>
      <c r="J49" s="12">
        <v>1</v>
      </c>
      <c r="K49" s="12">
        <v>0</v>
      </c>
      <c r="L49" s="12">
        <v>7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0</v>
      </c>
      <c r="G52" s="29">
        <v>0</v>
      </c>
      <c r="H52" s="29">
        <v>0</v>
      </c>
      <c r="I52" s="11">
        <v>9</v>
      </c>
      <c r="J52" s="12">
        <v>7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384</v>
      </c>
      <c r="C1" s="2">
        <f>SUM(C3:C1001)</f>
        <v>240</v>
      </c>
      <c r="D1" s="2">
        <f>SUM(D3:D1001)</f>
        <v>11</v>
      </c>
      <c r="E1" s="2">
        <f>SUM(E3:E1001)</f>
        <v>138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9</v>
      </c>
      <c r="C3" s="7">
        <f t="shared" ref="C3:C34" si="1">F3+J3</f>
        <v>8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8</v>
      </c>
      <c r="J3" s="10">
        <v>7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8</v>
      </c>
      <c r="C4" s="7">
        <f t="shared" si="1"/>
        <v>4</v>
      </c>
      <c r="D4" s="7">
        <f t="shared" si="2"/>
        <v>0</v>
      </c>
      <c r="E4" s="7">
        <f t="shared" si="3"/>
        <v>4</v>
      </c>
      <c r="F4" s="29">
        <v>1</v>
      </c>
      <c r="G4" s="29">
        <v>0</v>
      </c>
      <c r="H4" s="29">
        <v>0</v>
      </c>
      <c r="I4" s="11">
        <v>7</v>
      </c>
      <c r="J4" s="12">
        <v>3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9</v>
      </c>
      <c r="C5" s="7">
        <f t="shared" si="1"/>
        <v>9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8</v>
      </c>
      <c r="J5" s="12">
        <v>8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9</v>
      </c>
      <c r="C6" s="7">
        <f t="shared" si="1"/>
        <v>7</v>
      </c>
      <c r="D6" s="7">
        <f t="shared" si="2"/>
        <v>0</v>
      </c>
      <c r="E6" s="7">
        <f t="shared" si="3"/>
        <v>2</v>
      </c>
      <c r="F6" s="29">
        <v>0</v>
      </c>
      <c r="G6" s="29">
        <v>0</v>
      </c>
      <c r="H6" s="29">
        <v>1</v>
      </c>
      <c r="I6" s="11">
        <v>8</v>
      </c>
      <c r="J6" s="12">
        <v>7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29">
        <v>0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5</v>
      </c>
      <c r="C8" s="7">
        <f t="shared" si="1"/>
        <v>3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4</v>
      </c>
      <c r="J8" s="12">
        <v>2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9</v>
      </c>
      <c r="C9" s="7">
        <f t="shared" si="1"/>
        <v>3</v>
      </c>
      <c r="D9" s="7">
        <f t="shared" si="2"/>
        <v>0</v>
      </c>
      <c r="E9" s="7">
        <f t="shared" si="3"/>
        <v>6</v>
      </c>
      <c r="F9" s="29">
        <v>0</v>
      </c>
      <c r="G9" s="29">
        <v>0</v>
      </c>
      <c r="H9" s="29">
        <v>1</v>
      </c>
      <c r="I9" s="11">
        <v>8</v>
      </c>
      <c r="J9" s="12">
        <v>3</v>
      </c>
      <c r="K9" s="12">
        <v>0</v>
      </c>
      <c r="L9" s="12">
        <v>5</v>
      </c>
    </row>
    <row r="10" spans="1:12" ht="18" customHeight="1">
      <c r="A10" s="6">
        <v>29108</v>
      </c>
      <c r="B10" s="6">
        <f t="shared" si="0"/>
        <v>9</v>
      </c>
      <c r="C10" s="7">
        <f t="shared" si="1"/>
        <v>7</v>
      </c>
      <c r="D10" s="7">
        <f t="shared" si="2"/>
        <v>0</v>
      </c>
      <c r="E10" s="7">
        <f t="shared" si="3"/>
        <v>2</v>
      </c>
      <c r="F10" s="29">
        <v>0</v>
      </c>
      <c r="G10" s="29">
        <v>0</v>
      </c>
      <c r="H10" s="29">
        <v>1</v>
      </c>
      <c r="I10" s="11">
        <v>8</v>
      </c>
      <c r="J10" s="12">
        <v>7</v>
      </c>
      <c r="K10" s="12">
        <v>0</v>
      </c>
      <c r="L10" s="12">
        <v>1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1</v>
      </c>
      <c r="I11" s="11">
        <v>6</v>
      </c>
      <c r="J11" s="12">
        <v>5</v>
      </c>
      <c r="K11" s="12">
        <v>0</v>
      </c>
      <c r="L11" s="12">
        <v>1</v>
      </c>
    </row>
    <row r="12" spans="1:12" ht="18" customHeight="1">
      <c r="A12" s="6">
        <v>29110</v>
      </c>
      <c r="B12" s="6">
        <f t="shared" si="0"/>
        <v>9</v>
      </c>
      <c r="C12" s="7">
        <f t="shared" si="1"/>
        <v>3</v>
      </c>
      <c r="D12" s="7">
        <f t="shared" si="2"/>
        <v>0</v>
      </c>
      <c r="E12" s="7">
        <f t="shared" si="3"/>
        <v>6</v>
      </c>
      <c r="F12" s="29">
        <v>0</v>
      </c>
      <c r="G12" s="29">
        <v>0</v>
      </c>
      <c r="H12" s="29">
        <v>1</v>
      </c>
      <c r="I12" s="11">
        <v>8</v>
      </c>
      <c r="J12" s="12">
        <v>3</v>
      </c>
      <c r="K12" s="12">
        <v>0</v>
      </c>
      <c r="L12" s="12">
        <v>5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9</v>
      </c>
      <c r="C14" s="7">
        <f t="shared" si="1"/>
        <v>8</v>
      </c>
      <c r="D14" s="7">
        <f t="shared" si="2"/>
        <v>1</v>
      </c>
      <c r="E14" s="7">
        <f t="shared" si="3"/>
        <v>0</v>
      </c>
      <c r="F14" s="29">
        <v>1</v>
      </c>
      <c r="G14" s="29">
        <v>0</v>
      </c>
      <c r="H14" s="29">
        <v>0</v>
      </c>
      <c r="I14" s="11">
        <v>8</v>
      </c>
      <c r="J14" s="12">
        <v>7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9</v>
      </c>
      <c r="C15" s="7">
        <f t="shared" si="1"/>
        <v>9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8</v>
      </c>
      <c r="J15" s="12">
        <v>8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8</v>
      </c>
      <c r="C16" s="7">
        <f t="shared" si="1"/>
        <v>2</v>
      </c>
      <c r="D16" s="7">
        <f t="shared" si="2"/>
        <v>0</v>
      </c>
      <c r="E16" s="7">
        <f t="shared" si="3"/>
        <v>6</v>
      </c>
      <c r="F16" s="29">
        <v>0</v>
      </c>
      <c r="G16" s="29">
        <v>0</v>
      </c>
      <c r="H16" s="29">
        <v>1</v>
      </c>
      <c r="I16" s="11">
        <v>7</v>
      </c>
      <c r="J16" s="12">
        <v>2</v>
      </c>
      <c r="K16" s="12">
        <v>0</v>
      </c>
      <c r="L16" s="12">
        <v>5</v>
      </c>
    </row>
    <row r="17" spans="1:12" ht="18" customHeight="1">
      <c r="A17" s="6">
        <v>29115</v>
      </c>
      <c r="B17" s="6">
        <f t="shared" si="0"/>
        <v>9</v>
      </c>
      <c r="C17" s="7">
        <f t="shared" si="1"/>
        <v>4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8</v>
      </c>
      <c r="J17" s="12">
        <v>3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6</v>
      </c>
      <c r="C19" s="7">
        <f t="shared" si="1"/>
        <v>3</v>
      </c>
      <c r="D19" s="7">
        <f t="shared" si="2"/>
        <v>0</v>
      </c>
      <c r="E19" s="7">
        <f t="shared" si="3"/>
        <v>3</v>
      </c>
      <c r="F19" s="29">
        <v>0</v>
      </c>
      <c r="G19" s="29">
        <v>0</v>
      </c>
      <c r="H19" s="29">
        <v>1</v>
      </c>
      <c r="I19" s="11">
        <v>5</v>
      </c>
      <c r="J19" s="12">
        <v>3</v>
      </c>
      <c r="K19" s="12">
        <v>0</v>
      </c>
      <c r="L19" s="12">
        <v>2</v>
      </c>
    </row>
    <row r="20" spans="1:12" ht="18" customHeight="1">
      <c r="A20" s="6">
        <v>29118</v>
      </c>
      <c r="B20" s="6">
        <f t="shared" si="0"/>
        <v>9</v>
      </c>
      <c r="C20" s="7">
        <f t="shared" si="1"/>
        <v>6</v>
      </c>
      <c r="D20" s="7">
        <f t="shared" si="2"/>
        <v>0</v>
      </c>
      <c r="E20" s="7">
        <f t="shared" si="3"/>
        <v>3</v>
      </c>
      <c r="F20" s="29">
        <v>0</v>
      </c>
      <c r="G20" s="29">
        <v>0</v>
      </c>
      <c r="H20" s="29">
        <v>1</v>
      </c>
      <c r="I20" s="11">
        <v>8</v>
      </c>
      <c r="J20" s="12">
        <v>6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9</v>
      </c>
      <c r="C21" s="7">
        <f t="shared" si="1"/>
        <v>9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8</v>
      </c>
      <c r="J21" s="12">
        <v>8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29">
        <v>0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1</v>
      </c>
      <c r="G23" s="29">
        <v>0</v>
      </c>
      <c r="H23" s="29">
        <v>0</v>
      </c>
      <c r="I23" s="11">
        <v>7</v>
      </c>
      <c r="J23" s="12">
        <v>4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9</v>
      </c>
      <c r="C24" s="7">
        <f t="shared" si="1"/>
        <v>6</v>
      </c>
      <c r="D24" s="7">
        <f t="shared" si="2"/>
        <v>0</v>
      </c>
      <c r="E24" s="7">
        <f t="shared" si="3"/>
        <v>3</v>
      </c>
      <c r="F24" s="29">
        <v>1</v>
      </c>
      <c r="G24" s="29">
        <v>0</v>
      </c>
      <c r="H24" s="29">
        <v>0</v>
      </c>
      <c r="I24" s="11">
        <v>8</v>
      </c>
      <c r="J24" s="12">
        <v>5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9</v>
      </c>
      <c r="C25" s="7">
        <f t="shared" si="1"/>
        <v>5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1</v>
      </c>
      <c r="I25" s="11">
        <v>8</v>
      </c>
      <c r="J25" s="12">
        <v>4</v>
      </c>
      <c r="K25" s="12">
        <v>0</v>
      </c>
      <c r="L25" s="12">
        <v>5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1</v>
      </c>
      <c r="G26" s="29">
        <v>0</v>
      </c>
      <c r="H26" s="29">
        <v>0</v>
      </c>
      <c r="I26" s="11">
        <v>8</v>
      </c>
      <c r="J26" s="12">
        <v>4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8</v>
      </c>
      <c r="C27" s="7">
        <f t="shared" si="1"/>
        <v>5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1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7</v>
      </c>
      <c r="C28" s="7">
        <f t="shared" si="1"/>
        <v>7</v>
      </c>
      <c r="D28" s="7">
        <f t="shared" si="2"/>
        <v>0</v>
      </c>
      <c r="E28" s="7">
        <f t="shared" si="3"/>
        <v>0</v>
      </c>
      <c r="F28" s="29">
        <v>1</v>
      </c>
      <c r="G28" s="29">
        <v>0</v>
      </c>
      <c r="H28" s="29">
        <v>0</v>
      </c>
      <c r="I28" s="11">
        <v>6</v>
      </c>
      <c r="J28" s="12">
        <v>6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9</v>
      </c>
      <c r="C29" s="7">
        <f t="shared" si="1"/>
        <v>4</v>
      </c>
      <c r="D29" s="7">
        <f t="shared" si="2"/>
        <v>1</v>
      </c>
      <c r="E29" s="7">
        <f t="shared" si="3"/>
        <v>4</v>
      </c>
      <c r="F29" s="29">
        <v>0</v>
      </c>
      <c r="G29" s="29">
        <v>0</v>
      </c>
      <c r="H29" s="29">
        <v>1</v>
      </c>
      <c r="I29" s="11">
        <v>8</v>
      </c>
      <c r="J29" s="12">
        <v>4</v>
      </c>
      <c r="K29" s="12">
        <v>1</v>
      </c>
      <c r="L29" s="12">
        <v>3</v>
      </c>
    </row>
    <row r="30" spans="1:12" ht="18" customHeight="1">
      <c r="A30" s="6">
        <v>29160</v>
      </c>
      <c r="B30" s="6">
        <f t="shared" si="0"/>
        <v>9</v>
      </c>
      <c r="C30" s="7">
        <f t="shared" si="1"/>
        <v>2</v>
      </c>
      <c r="D30" s="7">
        <f t="shared" si="2"/>
        <v>0</v>
      </c>
      <c r="E30" s="7">
        <f t="shared" si="3"/>
        <v>7</v>
      </c>
      <c r="F30" s="29">
        <v>0</v>
      </c>
      <c r="G30" s="29">
        <v>0</v>
      </c>
      <c r="H30" s="29">
        <v>1</v>
      </c>
      <c r="I30" s="11">
        <v>8</v>
      </c>
      <c r="J30" s="12">
        <v>2</v>
      </c>
      <c r="K30" s="12">
        <v>0</v>
      </c>
      <c r="L30" s="12">
        <v>6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1</v>
      </c>
      <c r="I31" s="11">
        <v>8</v>
      </c>
      <c r="J31" s="12">
        <v>7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9</v>
      </c>
      <c r="C32" s="7">
        <f t="shared" si="1"/>
        <v>5</v>
      </c>
      <c r="D32" s="7">
        <f t="shared" si="2"/>
        <v>0</v>
      </c>
      <c r="E32" s="7">
        <f t="shared" si="3"/>
        <v>4</v>
      </c>
      <c r="F32" s="29">
        <v>0</v>
      </c>
      <c r="G32" s="29">
        <v>0</v>
      </c>
      <c r="H32" s="29">
        <v>1</v>
      </c>
      <c r="I32" s="11">
        <v>8</v>
      </c>
      <c r="J32" s="12">
        <v>5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1</v>
      </c>
      <c r="G33" s="29">
        <v>0</v>
      </c>
      <c r="H33" s="29">
        <v>0</v>
      </c>
      <c r="I33" s="11">
        <v>8</v>
      </c>
      <c r="J33" s="12">
        <v>6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1</v>
      </c>
      <c r="I34" s="11">
        <v>4</v>
      </c>
      <c r="J34" s="12">
        <v>2</v>
      </c>
      <c r="K34" s="12">
        <v>0</v>
      </c>
      <c r="L34" s="12">
        <v>2</v>
      </c>
    </row>
    <row r="35" spans="1:12" ht="15.5" customHeight="1">
      <c r="A35" s="6">
        <v>29165</v>
      </c>
      <c r="B35" s="6">
        <f t="shared" ref="B35:B52" si="4">IF(AND(F35=0,G35=0,H35=0),0,1)+I35</f>
        <v>9</v>
      </c>
      <c r="C35" s="7">
        <f t="shared" ref="C35:C52" si="5">F35+J35</f>
        <v>6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8</v>
      </c>
      <c r="J35" s="12">
        <v>5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9</v>
      </c>
      <c r="C36" s="7">
        <f t="shared" si="5"/>
        <v>5</v>
      </c>
      <c r="D36" s="7">
        <f t="shared" si="6"/>
        <v>0</v>
      </c>
      <c r="E36" s="7">
        <f t="shared" si="7"/>
        <v>4</v>
      </c>
      <c r="F36" s="29">
        <v>0</v>
      </c>
      <c r="G36" s="29">
        <v>0</v>
      </c>
      <c r="H36" s="29">
        <v>1</v>
      </c>
      <c r="I36" s="11">
        <v>8</v>
      </c>
      <c r="J36" s="12">
        <v>5</v>
      </c>
      <c r="K36" s="12">
        <v>0</v>
      </c>
      <c r="L36" s="12">
        <v>3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1</v>
      </c>
      <c r="I37" s="11">
        <v>7</v>
      </c>
      <c r="J37" s="12">
        <v>5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9</v>
      </c>
      <c r="C38" s="7">
        <f t="shared" si="5"/>
        <v>7</v>
      </c>
      <c r="D38" s="7">
        <f t="shared" si="6"/>
        <v>2</v>
      </c>
      <c r="E38" s="7">
        <f t="shared" si="7"/>
        <v>1</v>
      </c>
      <c r="F38" s="29">
        <v>1</v>
      </c>
      <c r="G38" s="29">
        <v>1</v>
      </c>
      <c r="H38" s="29">
        <v>0</v>
      </c>
      <c r="I38" s="11">
        <v>8</v>
      </c>
      <c r="J38" s="12">
        <v>6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1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7</v>
      </c>
      <c r="C40" s="7">
        <f t="shared" si="5"/>
        <v>4</v>
      </c>
      <c r="D40" s="7">
        <f t="shared" si="6"/>
        <v>2</v>
      </c>
      <c r="E40" s="7">
        <f t="shared" si="7"/>
        <v>1</v>
      </c>
      <c r="F40" s="29">
        <v>0</v>
      </c>
      <c r="G40" s="29">
        <v>0</v>
      </c>
      <c r="H40" s="29">
        <v>1</v>
      </c>
      <c r="I40" s="11">
        <v>6</v>
      </c>
      <c r="J40" s="12">
        <v>4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9</v>
      </c>
      <c r="C42" s="7">
        <f t="shared" si="5"/>
        <v>0</v>
      </c>
      <c r="D42" s="7">
        <f t="shared" si="6"/>
        <v>1</v>
      </c>
      <c r="E42" s="7">
        <f t="shared" si="7"/>
        <v>8</v>
      </c>
      <c r="F42" s="29">
        <v>0</v>
      </c>
      <c r="G42" s="29">
        <v>0</v>
      </c>
      <c r="H42" s="29">
        <v>1</v>
      </c>
      <c r="I42" s="11">
        <v>8</v>
      </c>
      <c r="J42" s="12">
        <v>0</v>
      </c>
      <c r="K42" s="12">
        <v>1</v>
      </c>
      <c r="L42" s="12">
        <v>7</v>
      </c>
    </row>
    <row r="43" spans="1:12" ht="15.5" customHeight="1">
      <c r="A43" s="6">
        <v>29173</v>
      </c>
      <c r="B43" s="6">
        <f t="shared" si="4"/>
        <v>6</v>
      </c>
      <c r="C43" s="7">
        <f t="shared" si="5"/>
        <v>6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5</v>
      </c>
      <c r="J43" s="12">
        <v>5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3</v>
      </c>
      <c r="C44" s="7">
        <f t="shared" si="5"/>
        <v>3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6</v>
      </c>
      <c r="C45" s="7">
        <f t="shared" si="5"/>
        <v>5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1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8</v>
      </c>
      <c r="J46" s="12">
        <v>7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9</v>
      </c>
      <c r="C47" s="7">
        <f t="shared" si="5"/>
        <v>6</v>
      </c>
      <c r="D47" s="7">
        <f t="shared" si="6"/>
        <v>0</v>
      </c>
      <c r="E47" s="7">
        <f t="shared" si="7"/>
        <v>4</v>
      </c>
      <c r="F47" s="29">
        <v>1</v>
      </c>
      <c r="G47" s="29">
        <v>0</v>
      </c>
      <c r="H47" s="29">
        <v>1</v>
      </c>
      <c r="I47" s="11">
        <v>8</v>
      </c>
      <c r="J47" s="12">
        <v>5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9</v>
      </c>
      <c r="C48" s="7">
        <f t="shared" si="5"/>
        <v>4</v>
      </c>
      <c r="D48" s="7">
        <f t="shared" si="6"/>
        <v>0</v>
      </c>
      <c r="E48" s="7">
        <f t="shared" si="7"/>
        <v>6</v>
      </c>
      <c r="F48" s="29">
        <v>0</v>
      </c>
      <c r="G48" s="29">
        <v>0</v>
      </c>
      <c r="H48" s="29">
        <v>1</v>
      </c>
      <c r="I48" s="11">
        <v>8</v>
      </c>
      <c r="J48" s="12">
        <v>4</v>
      </c>
      <c r="K48" s="12">
        <v>0</v>
      </c>
      <c r="L48" s="12">
        <v>5</v>
      </c>
    </row>
    <row r="49" spans="1:12" ht="15.5" customHeight="1">
      <c r="A49" s="6">
        <v>29179</v>
      </c>
      <c r="B49" s="6">
        <f t="shared" si="4"/>
        <v>8</v>
      </c>
      <c r="C49" s="7">
        <f t="shared" si="5"/>
        <v>1</v>
      </c>
      <c r="D49" s="7">
        <f t="shared" si="6"/>
        <v>0</v>
      </c>
      <c r="E49" s="7">
        <f t="shared" si="7"/>
        <v>7</v>
      </c>
      <c r="F49" s="29">
        <v>0</v>
      </c>
      <c r="G49" s="29">
        <v>0</v>
      </c>
      <c r="H49" s="29">
        <v>1</v>
      </c>
      <c r="I49" s="11">
        <v>7</v>
      </c>
      <c r="J49" s="12">
        <v>1</v>
      </c>
      <c r="K49" s="12">
        <v>0</v>
      </c>
      <c r="L49" s="12">
        <v>6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8</v>
      </c>
      <c r="J52" s="12">
        <v>6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340</v>
      </c>
      <c r="C1" s="2">
        <f>SUM(C3:C1001)</f>
        <v>218</v>
      </c>
      <c r="D1" s="2">
        <f>SUM(D3:D1001)</f>
        <v>10</v>
      </c>
      <c r="E1" s="2">
        <f>SUM(E3:E1001)</f>
        <v>114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8</v>
      </c>
      <c r="C3" s="7">
        <f t="shared" ref="C3:C34" si="1">F3+J3</f>
        <v>7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9">
        <v>7</v>
      </c>
      <c r="J3" s="10">
        <v>6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7</v>
      </c>
      <c r="C4" s="7">
        <f t="shared" si="1"/>
        <v>3</v>
      </c>
      <c r="D4" s="7">
        <f t="shared" si="2"/>
        <v>0</v>
      </c>
      <c r="E4" s="7">
        <f t="shared" si="3"/>
        <v>4</v>
      </c>
      <c r="F4" s="8">
        <v>1</v>
      </c>
      <c r="G4" s="8">
        <v>0</v>
      </c>
      <c r="H4" s="8">
        <v>0</v>
      </c>
      <c r="I4" s="11">
        <v>6</v>
      </c>
      <c r="J4" s="12">
        <v>2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8</v>
      </c>
      <c r="C5" s="7">
        <f t="shared" si="1"/>
        <v>8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1">
        <v>7</v>
      </c>
      <c r="J5" s="12">
        <v>7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8</v>
      </c>
      <c r="C6" s="7">
        <f t="shared" si="1"/>
        <v>7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1">
        <v>7</v>
      </c>
      <c r="J6" s="12">
        <v>6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1">
        <v>7</v>
      </c>
      <c r="J7" s="12">
        <v>5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4</v>
      </c>
      <c r="C8" s="7">
        <f t="shared" si="1"/>
        <v>2</v>
      </c>
      <c r="D8" s="7">
        <f t="shared" si="2"/>
        <v>0</v>
      </c>
      <c r="E8" s="7">
        <f t="shared" si="3"/>
        <v>2</v>
      </c>
      <c r="F8" s="8">
        <v>0</v>
      </c>
      <c r="G8" s="8">
        <v>0</v>
      </c>
      <c r="H8" s="8">
        <v>1</v>
      </c>
      <c r="I8" s="11">
        <v>3</v>
      </c>
      <c r="J8" s="12">
        <v>2</v>
      </c>
      <c r="K8" s="12">
        <v>0</v>
      </c>
      <c r="L8" s="12">
        <v>1</v>
      </c>
    </row>
    <row r="9" spans="1:12" ht="18" customHeight="1">
      <c r="A9" s="6">
        <v>29107</v>
      </c>
      <c r="B9" s="6">
        <f t="shared" si="0"/>
        <v>8</v>
      </c>
      <c r="C9" s="7">
        <f t="shared" si="1"/>
        <v>3</v>
      </c>
      <c r="D9" s="7">
        <f t="shared" si="2"/>
        <v>0</v>
      </c>
      <c r="E9" s="7">
        <f t="shared" si="3"/>
        <v>5</v>
      </c>
      <c r="F9" s="8">
        <v>0</v>
      </c>
      <c r="G9" s="8">
        <v>0</v>
      </c>
      <c r="H9" s="8">
        <v>1</v>
      </c>
      <c r="I9" s="11">
        <v>7</v>
      </c>
      <c r="J9" s="12">
        <v>3</v>
      </c>
      <c r="K9" s="12">
        <v>0</v>
      </c>
      <c r="L9" s="12">
        <v>4</v>
      </c>
    </row>
    <row r="10" spans="1:12" ht="18" customHeight="1">
      <c r="A10" s="6">
        <v>29108</v>
      </c>
      <c r="B10" s="6">
        <f t="shared" si="0"/>
        <v>8</v>
      </c>
      <c r="C10" s="7">
        <f t="shared" si="1"/>
        <v>7</v>
      </c>
      <c r="D10" s="7">
        <f t="shared" si="2"/>
        <v>0</v>
      </c>
      <c r="E10" s="7">
        <f t="shared" si="3"/>
        <v>1</v>
      </c>
      <c r="F10" s="8">
        <v>0</v>
      </c>
      <c r="G10" s="8">
        <v>0</v>
      </c>
      <c r="H10" s="8">
        <v>1</v>
      </c>
      <c r="I10" s="11">
        <v>7</v>
      </c>
      <c r="J10" s="12">
        <v>7</v>
      </c>
      <c r="K10" s="12">
        <v>0</v>
      </c>
      <c r="L10" s="12">
        <v>0</v>
      </c>
    </row>
    <row r="11" spans="1:12" ht="18" customHeight="1">
      <c r="A11" s="6">
        <v>29109</v>
      </c>
      <c r="B11" s="6">
        <f t="shared" si="0"/>
        <v>6</v>
      </c>
      <c r="C11" s="7">
        <f t="shared" si="1"/>
        <v>5</v>
      </c>
      <c r="D11" s="7">
        <f t="shared" si="2"/>
        <v>0</v>
      </c>
      <c r="E11" s="7">
        <f t="shared" si="3"/>
        <v>1</v>
      </c>
      <c r="F11" s="8">
        <v>0</v>
      </c>
      <c r="G11" s="8">
        <v>0</v>
      </c>
      <c r="H11" s="8">
        <v>1</v>
      </c>
      <c r="I11" s="11">
        <v>5</v>
      </c>
      <c r="J11" s="12">
        <v>5</v>
      </c>
      <c r="K11" s="12">
        <v>0</v>
      </c>
      <c r="L11" s="12">
        <v>0</v>
      </c>
    </row>
    <row r="12" spans="1:12" ht="18" customHeight="1">
      <c r="A12" s="6">
        <v>29110</v>
      </c>
      <c r="B12" s="6">
        <f t="shared" si="0"/>
        <v>8</v>
      </c>
      <c r="C12" s="7">
        <f t="shared" si="1"/>
        <v>3</v>
      </c>
      <c r="D12" s="7">
        <f t="shared" si="2"/>
        <v>0</v>
      </c>
      <c r="E12" s="7">
        <f t="shared" si="3"/>
        <v>5</v>
      </c>
      <c r="F12" s="8">
        <v>0</v>
      </c>
      <c r="G12" s="8">
        <v>0</v>
      </c>
      <c r="H12" s="8">
        <v>1</v>
      </c>
      <c r="I12" s="11">
        <v>7</v>
      </c>
      <c r="J12" s="12">
        <v>3</v>
      </c>
      <c r="K12" s="12">
        <v>0</v>
      </c>
      <c r="L12" s="12">
        <v>4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8</v>
      </c>
      <c r="C14" s="7">
        <f t="shared" si="1"/>
        <v>7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1">
        <v>7</v>
      </c>
      <c r="J14" s="12">
        <v>6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8</v>
      </c>
      <c r="C15" s="7">
        <f t="shared" si="1"/>
        <v>8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1">
        <v>7</v>
      </c>
      <c r="J15" s="12">
        <v>7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7</v>
      </c>
      <c r="C16" s="7">
        <f t="shared" si="1"/>
        <v>2</v>
      </c>
      <c r="D16" s="7">
        <f t="shared" si="2"/>
        <v>0</v>
      </c>
      <c r="E16" s="7">
        <f t="shared" si="3"/>
        <v>5</v>
      </c>
      <c r="F16" s="8">
        <v>0</v>
      </c>
      <c r="G16" s="8">
        <v>0</v>
      </c>
      <c r="H16" s="8">
        <v>1</v>
      </c>
      <c r="I16" s="11">
        <v>6</v>
      </c>
      <c r="J16" s="12">
        <v>2</v>
      </c>
      <c r="K16" s="12">
        <v>0</v>
      </c>
      <c r="L16" s="12">
        <v>4</v>
      </c>
    </row>
    <row r="17" spans="1:12" ht="18" customHeight="1">
      <c r="A17" s="6">
        <v>29115</v>
      </c>
      <c r="B17" s="6">
        <f t="shared" si="0"/>
        <v>8</v>
      </c>
      <c r="C17" s="7">
        <f t="shared" si="1"/>
        <v>3</v>
      </c>
      <c r="D17" s="7">
        <f t="shared" si="2"/>
        <v>0</v>
      </c>
      <c r="E17" s="7">
        <f t="shared" si="3"/>
        <v>5</v>
      </c>
      <c r="F17" s="8">
        <v>1</v>
      </c>
      <c r="G17" s="8">
        <v>0</v>
      </c>
      <c r="H17" s="8">
        <v>0</v>
      </c>
      <c r="I17" s="11">
        <v>7</v>
      </c>
      <c r="J17" s="12">
        <v>2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5</v>
      </c>
      <c r="C19" s="7">
        <f t="shared" si="1"/>
        <v>3</v>
      </c>
      <c r="D19" s="7">
        <f t="shared" si="2"/>
        <v>0</v>
      </c>
      <c r="E19" s="7">
        <f t="shared" si="3"/>
        <v>2</v>
      </c>
      <c r="F19" s="8">
        <v>0</v>
      </c>
      <c r="G19" s="8">
        <v>0</v>
      </c>
      <c r="H19" s="8">
        <v>1</v>
      </c>
      <c r="I19" s="11">
        <v>4</v>
      </c>
      <c r="J19" s="12">
        <v>3</v>
      </c>
      <c r="K19" s="12">
        <v>0</v>
      </c>
      <c r="L19" s="12">
        <v>1</v>
      </c>
    </row>
    <row r="20" spans="1:12" ht="18" customHeight="1">
      <c r="A20" s="6">
        <v>29118</v>
      </c>
      <c r="B20" s="6">
        <f t="shared" si="0"/>
        <v>8</v>
      </c>
      <c r="C20" s="7">
        <f t="shared" si="1"/>
        <v>6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1">
        <v>7</v>
      </c>
      <c r="J20" s="12">
        <v>5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8</v>
      </c>
      <c r="C21" s="7">
        <f t="shared" si="1"/>
        <v>8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1">
        <v>7</v>
      </c>
      <c r="J21" s="12">
        <v>7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8">
        <v>0</v>
      </c>
      <c r="G22" s="8">
        <v>0</v>
      </c>
      <c r="H22" s="8">
        <v>1</v>
      </c>
      <c r="I22" s="11">
        <v>7</v>
      </c>
      <c r="J22" s="12">
        <v>4</v>
      </c>
      <c r="K22" s="12">
        <v>0</v>
      </c>
      <c r="L22" s="12">
        <v>3</v>
      </c>
    </row>
    <row r="23" spans="1:12" ht="18" customHeight="1">
      <c r="A23" s="6">
        <v>29153</v>
      </c>
      <c r="B23" s="6">
        <f t="shared" si="0"/>
        <v>7</v>
      </c>
      <c r="C23" s="7">
        <f t="shared" si="1"/>
        <v>4</v>
      </c>
      <c r="D23" s="7">
        <f t="shared" si="2"/>
        <v>1</v>
      </c>
      <c r="E23" s="7">
        <f t="shared" si="3"/>
        <v>2</v>
      </c>
      <c r="F23" s="8">
        <v>1</v>
      </c>
      <c r="G23" s="8">
        <v>0</v>
      </c>
      <c r="H23" s="8">
        <v>0</v>
      </c>
      <c r="I23" s="11">
        <v>6</v>
      </c>
      <c r="J23" s="12">
        <v>3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8</v>
      </c>
      <c r="C24" s="7">
        <f t="shared" si="1"/>
        <v>5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1">
        <v>7</v>
      </c>
      <c r="J24" s="12">
        <v>4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8</v>
      </c>
      <c r="C25" s="7">
        <f t="shared" si="1"/>
        <v>4</v>
      </c>
      <c r="D25" s="7">
        <f t="shared" si="2"/>
        <v>0</v>
      </c>
      <c r="E25" s="7">
        <f t="shared" si="3"/>
        <v>5</v>
      </c>
      <c r="F25" s="8">
        <v>1</v>
      </c>
      <c r="G25" s="8">
        <v>0</v>
      </c>
      <c r="H25" s="8">
        <v>1</v>
      </c>
      <c r="I25" s="11">
        <v>7</v>
      </c>
      <c r="J25" s="12">
        <v>3</v>
      </c>
      <c r="K25" s="12">
        <v>0</v>
      </c>
      <c r="L25" s="12">
        <v>4</v>
      </c>
    </row>
    <row r="26" spans="1:12" s="30" customFormat="1" ht="18" customHeight="1">
      <c r="A26" s="13">
        <v>29156</v>
      </c>
      <c r="B26" s="6">
        <f t="shared" si="0"/>
        <v>8</v>
      </c>
      <c r="C26" s="14">
        <f t="shared" si="1"/>
        <v>4</v>
      </c>
      <c r="D26" s="14">
        <f t="shared" si="2"/>
        <v>0</v>
      </c>
      <c r="E26" s="14">
        <f t="shared" si="3"/>
        <v>4</v>
      </c>
      <c r="F26" s="8">
        <v>0</v>
      </c>
      <c r="G26" s="8">
        <v>0</v>
      </c>
      <c r="H26" s="8">
        <v>1</v>
      </c>
      <c r="I26" s="11">
        <v>7</v>
      </c>
      <c r="J26" s="12">
        <v>4</v>
      </c>
      <c r="K26" s="12">
        <v>0</v>
      </c>
      <c r="L26" s="12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0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6</v>
      </c>
      <c r="C28" s="7">
        <f t="shared" si="1"/>
        <v>6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1">
        <v>5</v>
      </c>
      <c r="J28" s="12">
        <v>5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8</v>
      </c>
      <c r="C29" s="7">
        <f t="shared" si="1"/>
        <v>4</v>
      </c>
      <c r="D29" s="7">
        <f t="shared" si="2"/>
        <v>1</v>
      </c>
      <c r="E29" s="7">
        <f t="shared" si="3"/>
        <v>3</v>
      </c>
      <c r="F29" s="8">
        <v>0</v>
      </c>
      <c r="G29" s="8">
        <v>0</v>
      </c>
      <c r="H29" s="8">
        <v>1</v>
      </c>
      <c r="I29" s="11">
        <v>7</v>
      </c>
      <c r="J29" s="12">
        <v>4</v>
      </c>
      <c r="K29" s="12">
        <v>1</v>
      </c>
      <c r="L29" s="12">
        <v>2</v>
      </c>
    </row>
    <row r="30" spans="1:12" ht="18" customHeight="1">
      <c r="A30" s="6">
        <v>29160</v>
      </c>
      <c r="B30" s="6">
        <f t="shared" si="0"/>
        <v>8</v>
      </c>
      <c r="C30" s="7">
        <f t="shared" si="1"/>
        <v>2</v>
      </c>
      <c r="D30" s="7">
        <f t="shared" si="2"/>
        <v>0</v>
      </c>
      <c r="E30" s="7">
        <f t="shared" si="3"/>
        <v>6</v>
      </c>
      <c r="F30" s="8">
        <v>0</v>
      </c>
      <c r="G30" s="8">
        <v>0</v>
      </c>
      <c r="H30" s="8">
        <v>1</v>
      </c>
      <c r="I30" s="11">
        <v>7</v>
      </c>
      <c r="J30" s="12">
        <v>2</v>
      </c>
      <c r="K30" s="12">
        <v>0</v>
      </c>
      <c r="L30" s="12">
        <v>5</v>
      </c>
    </row>
    <row r="31" spans="1:12" ht="18" customHeight="1">
      <c r="A31" s="6">
        <v>29161</v>
      </c>
      <c r="B31" s="6">
        <f t="shared" si="0"/>
        <v>8</v>
      </c>
      <c r="C31" s="7">
        <f t="shared" si="1"/>
        <v>7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1">
        <v>7</v>
      </c>
      <c r="J31" s="12">
        <v>6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8</v>
      </c>
      <c r="C32" s="7">
        <f t="shared" si="1"/>
        <v>5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1">
        <v>7</v>
      </c>
      <c r="J32" s="12">
        <v>4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8</v>
      </c>
      <c r="C33" s="7">
        <f t="shared" si="1"/>
        <v>6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1">
        <v>7</v>
      </c>
      <c r="J33" s="12">
        <v>5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4</v>
      </c>
      <c r="C34" s="7">
        <f t="shared" si="1"/>
        <v>2</v>
      </c>
      <c r="D34" s="7">
        <f t="shared" si="2"/>
        <v>0</v>
      </c>
      <c r="E34" s="7">
        <f t="shared" si="3"/>
        <v>2</v>
      </c>
      <c r="F34" s="8">
        <v>0</v>
      </c>
      <c r="G34" s="8">
        <v>0</v>
      </c>
      <c r="H34" s="8">
        <v>1</v>
      </c>
      <c r="I34" s="11">
        <v>3</v>
      </c>
      <c r="J34" s="12">
        <v>2</v>
      </c>
      <c r="K34" s="12">
        <v>0</v>
      </c>
      <c r="L34" s="12">
        <v>1</v>
      </c>
    </row>
    <row r="35" spans="1:12" ht="15.5" customHeight="1">
      <c r="A35" s="6">
        <v>29165</v>
      </c>
      <c r="B35" s="6">
        <f t="shared" ref="B35:B52" si="4">IF(AND(F35=0,G35=0,H35=0),0,1)+I35</f>
        <v>8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3</v>
      </c>
      <c r="F35" s="8">
        <v>0</v>
      </c>
      <c r="G35" s="8">
        <v>0</v>
      </c>
      <c r="H35" s="8">
        <v>1</v>
      </c>
      <c r="I35" s="11">
        <v>7</v>
      </c>
      <c r="J35" s="12">
        <v>5</v>
      </c>
      <c r="K35" s="12">
        <v>0</v>
      </c>
      <c r="L35" s="12">
        <v>2</v>
      </c>
    </row>
    <row r="36" spans="1:12" ht="15.5" customHeight="1">
      <c r="A36" s="6">
        <v>29166</v>
      </c>
      <c r="B36" s="6">
        <f t="shared" si="4"/>
        <v>8</v>
      </c>
      <c r="C36" s="7">
        <f t="shared" si="5"/>
        <v>5</v>
      </c>
      <c r="D36" s="7">
        <f t="shared" si="6"/>
        <v>0</v>
      </c>
      <c r="E36" s="7">
        <f t="shared" si="7"/>
        <v>3</v>
      </c>
      <c r="F36" s="8">
        <v>0</v>
      </c>
      <c r="G36" s="8">
        <v>0</v>
      </c>
      <c r="H36" s="8">
        <v>1</v>
      </c>
      <c r="I36" s="11">
        <v>7</v>
      </c>
      <c r="J36" s="12">
        <v>5</v>
      </c>
      <c r="K36" s="12">
        <v>0</v>
      </c>
      <c r="L36" s="12">
        <v>2</v>
      </c>
    </row>
    <row r="37" spans="1:12" ht="15.5" customHeight="1">
      <c r="A37" s="6">
        <v>29167</v>
      </c>
      <c r="B37" s="6">
        <f t="shared" si="4"/>
        <v>7</v>
      </c>
      <c r="C37" s="7">
        <f t="shared" si="5"/>
        <v>5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1">
        <v>6</v>
      </c>
      <c r="J37" s="12">
        <v>4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8</v>
      </c>
      <c r="C38" s="7">
        <f t="shared" si="5"/>
        <v>6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1">
        <v>7</v>
      </c>
      <c r="J38" s="12">
        <v>5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0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6</v>
      </c>
      <c r="C40" s="7">
        <f t="shared" si="5"/>
        <v>4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1">
        <v>5</v>
      </c>
      <c r="J40" s="12">
        <v>3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8</v>
      </c>
      <c r="C42" s="7">
        <f t="shared" si="5"/>
        <v>0</v>
      </c>
      <c r="D42" s="7">
        <f t="shared" si="6"/>
        <v>1</v>
      </c>
      <c r="E42" s="7">
        <f t="shared" si="7"/>
        <v>7</v>
      </c>
      <c r="F42" s="8">
        <v>0</v>
      </c>
      <c r="G42" s="8">
        <v>0</v>
      </c>
      <c r="H42" s="8">
        <v>1</v>
      </c>
      <c r="I42" s="11">
        <v>7</v>
      </c>
      <c r="J42" s="12">
        <v>0</v>
      </c>
      <c r="K42" s="12">
        <v>1</v>
      </c>
      <c r="L42" s="12">
        <v>6</v>
      </c>
    </row>
    <row r="43" spans="1:12" ht="15.5" customHeight="1">
      <c r="A43" s="6">
        <v>29173</v>
      </c>
      <c r="B43" s="6">
        <f t="shared" si="4"/>
        <v>5</v>
      </c>
      <c r="C43" s="7">
        <f t="shared" si="5"/>
        <v>5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1">
        <v>4</v>
      </c>
      <c r="J43" s="12">
        <v>4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8</v>
      </c>
      <c r="C46" s="7">
        <f t="shared" si="5"/>
        <v>7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1">
        <v>7</v>
      </c>
      <c r="J46" s="12">
        <v>6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8</v>
      </c>
      <c r="C47" s="7">
        <f t="shared" si="5"/>
        <v>5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1">
        <v>7</v>
      </c>
      <c r="J47" s="12">
        <v>4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8</v>
      </c>
      <c r="C48" s="7">
        <f t="shared" si="5"/>
        <v>4</v>
      </c>
      <c r="D48" s="7">
        <f t="shared" si="6"/>
        <v>0</v>
      </c>
      <c r="E48" s="7">
        <f t="shared" si="7"/>
        <v>5</v>
      </c>
      <c r="F48" s="8">
        <v>0</v>
      </c>
      <c r="G48" s="8">
        <v>0</v>
      </c>
      <c r="H48" s="8">
        <v>1</v>
      </c>
      <c r="I48" s="11">
        <v>7</v>
      </c>
      <c r="J48" s="12">
        <v>4</v>
      </c>
      <c r="K48" s="12">
        <v>0</v>
      </c>
      <c r="L48" s="12">
        <v>4</v>
      </c>
    </row>
    <row r="49" spans="1:12" ht="15.5" customHeight="1">
      <c r="A49" s="6">
        <v>29179</v>
      </c>
      <c r="B49" s="6">
        <f t="shared" si="4"/>
        <v>7</v>
      </c>
      <c r="C49" s="7">
        <f t="shared" si="5"/>
        <v>1</v>
      </c>
      <c r="D49" s="7">
        <f t="shared" si="6"/>
        <v>0</v>
      </c>
      <c r="E49" s="7">
        <f t="shared" si="7"/>
        <v>6</v>
      </c>
      <c r="F49" s="8">
        <v>0</v>
      </c>
      <c r="G49" s="8">
        <v>0</v>
      </c>
      <c r="H49" s="8">
        <v>1</v>
      </c>
      <c r="I49" s="11">
        <v>6</v>
      </c>
      <c r="J49" s="12">
        <v>1</v>
      </c>
      <c r="K49" s="12">
        <v>0</v>
      </c>
      <c r="L49" s="12">
        <v>5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1">
        <v>4</v>
      </c>
      <c r="J50" s="12">
        <v>4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8</v>
      </c>
      <c r="C52" s="7">
        <f t="shared" si="5"/>
        <v>6</v>
      </c>
      <c r="D52" s="7">
        <f t="shared" si="6"/>
        <v>1</v>
      </c>
      <c r="E52" s="7">
        <f t="shared" si="7"/>
        <v>1</v>
      </c>
      <c r="F52" s="8">
        <v>0</v>
      </c>
      <c r="G52" s="8">
        <v>1</v>
      </c>
      <c r="H52" s="8">
        <v>0</v>
      </c>
      <c r="I52" s="11">
        <v>7</v>
      </c>
      <c r="J52" s="12">
        <v>6</v>
      </c>
      <c r="K52" s="12">
        <v>0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298</v>
      </c>
      <c r="C1" s="2">
        <f>SUM(C3:C1001)</f>
        <v>194</v>
      </c>
      <c r="D1" s="2">
        <f>SUM(D3:D1001)</f>
        <v>9</v>
      </c>
      <c r="E1" s="2">
        <f>SUM(E3:E1001)</f>
        <v>96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7</v>
      </c>
      <c r="C3" s="7">
        <f t="shared" ref="C3:C34" si="1">F3+J3</f>
        <v>6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6</v>
      </c>
      <c r="J3" s="16">
        <v>5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6</v>
      </c>
      <c r="C4" s="7">
        <f t="shared" si="1"/>
        <v>2</v>
      </c>
      <c r="D4" s="7">
        <f t="shared" si="2"/>
        <v>0</v>
      </c>
      <c r="E4" s="7">
        <f t="shared" si="3"/>
        <v>4</v>
      </c>
      <c r="F4" s="8">
        <v>0</v>
      </c>
      <c r="G4" s="8">
        <v>0</v>
      </c>
      <c r="H4" s="8">
        <v>1</v>
      </c>
      <c r="I4" s="17">
        <v>5</v>
      </c>
      <c r="J4" s="18">
        <v>2</v>
      </c>
      <c r="K4" s="18">
        <v>0</v>
      </c>
      <c r="L4" s="18">
        <v>3</v>
      </c>
    </row>
    <row r="5" spans="1:12" ht="18" customHeight="1">
      <c r="A5" s="6">
        <v>29103</v>
      </c>
      <c r="B5" s="6">
        <f t="shared" si="0"/>
        <v>7</v>
      </c>
      <c r="C5" s="7">
        <f t="shared" si="1"/>
        <v>7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6</v>
      </c>
      <c r="J5" s="18">
        <v>6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7</v>
      </c>
      <c r="C6" s="7">
        <f t="shared" si="1"/>
        <v>6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6</v>
      </c>
      <c r="J6" s="18">
        <v>5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7</v>
      </c>
      <c r="C7" s="7">
        <f t="shared" si="1"/>
        <v>5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6</v>
      </c>
      <c r="J7" s="18">
        <v>4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8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7</v>
      </c>
      <c r="C9" s="7">
        <f t="shared" si="1"/>
        <v>3</v>
      </c>
      <c r="D9" s="7">
        <f t="shared" si="2"/>
        <v>0</v>
      </c>
      <c r="E9" s="7">
        <f t="shared" si="3"/>
        <v>4</v>
      </c>
      <c r="F9" s="8">
        <v>0</v>
      </c>
      <c r="G9" s="8">
        <v>0</v>
      </c>
      <c r="H9" s="8">
        <v>1</v>
      </c>
      <c r="I9" s="17">
        <v>6</v>
      </c>
      <c r="J9" s="18">
        <v>3</v>
      </c>
      <c r="K9" s="18">
        <v>0</v>
      </c>
      <c r="L9" s="18">
        <v>3</v>
      </c>
    </row>
    <row r="10" spans="1:12" ht="18" customHeight="1">
      <c r="A10" s="6">
        <v>29108</v>
      </c>
      <c r="B10" s="6">
        <f t="shared" si="0"/>
        <v>7</v>
      </c>
      <c r="C10" s="7">
        <f t="shared" si="1"/>
        <v>7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6</v>
      </c>
      <c r="J10" s="18">
        <v>6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5</v>
      </c>
      <c r="C11" s="7">
        <f t="shared" si="1"/>
        <v>5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4</v>
      </c>
      <c r="J11" s="18">
        <v>4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7</v>
      </c>
      <c r="C12" s="7">
        <f t="shared" si="1"/>
        <v>3</v>
      </c>
      <c r="D12" s="7">
        <f t="shared" si="2"/>
        <v>0</v>
      </c>
      <c r="E12" s="7">
        <f t="shared" si="3"/>
        <v>4</v>
      </c>
      <c r="F12" s="8">
        <v>0</v>
      </c>
      <c r="G12" s="8">
        <v>0</v>
      </c>
      <c r="H12" s="8">
        <v>1</v>
      </c>
      <c r="I12" s="17">
        <v>6</v>
      </c>
      <c r="J12" s="18">
        <v>3</v>
      </c>
      <c r="K12" s="18">
        <v>0</v>
      </c>
      <c r="L12" s="18">
        <v>3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7</v>
      </c>
      <c r="C14" s="7">
        <f t="shared" si="1"/>
        <v>6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6</v>
      </c>
      <c r="J14" s="18">
        <v>5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7</v>
      </c>
      <c r="C15" s="7">
        <f t="shared" si="1"/>
        <v>7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6</v>
      </c>
      <c r="J15" s="18">
        <v>6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6</v>
      </c>
      <c r="C16" s="7">
        <f t="shared" si="1"/>
        <v>2</v>
      </c>
      <c r="D16" s="7">
        <f t="shared" si="2"/>
        <v>0</v>
      </c>
      <c r="E16" s="7">
        <f t="shared" si="3"/>
        <v>4</v>
      </c>
      <c r="F16" s="8">
        <v>0</v>
      </c>
      <c r="G16" s="8">
        <v>0</v>
      </c>
      <c r="H16" s="8">
        <v>1</v>
      </c>
      <c r="I16" s="17">
        <v>5</v>
      </c>
      <c r="J16" s="18">
        <v>2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7</v>
      </c>
      <c r="C17" s="7">
        <f t="shared" si="1"/>
        <v>2</v>
      </c>
      <c r="D17" s="7">
        <f t="shared" si="2"/>
        <v>0</v>
      </c>
      <c r="E17" s="7">
        <f t="shared" si="3"/>
        <v>5</v>
      </c>
      <c r="F17" s="8">
        <v>0</v>
      </c>
      <c r="G17" s="8">
        <v>0</v>
      </c>
      <c r="H17" s="8">
        <v>1</v>
      </c>
      <c r="I17" s="17">
        <v>6</v>
      </c>
      <c r="J17" s="18">
        <v>2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0</v>
      </c>
      <c r="I19" s="17">
        <v>4</v>
      </c>
      <c r="J19" s="18">
        <v>3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7</v>
      </c>
      <c r="C20" s="7">
        <f t="shared" si="1"/>
        <v>5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6</v>
      </c>
      <c r="J20" s="18">
        <v>4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7</v>
      </c>
      <c r="C21" s="7">
        <f t="shared" si="1"/>
        <v>7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6</v>
      </c>
      <c r="J21" s="18">
        <v>6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7</v>
      </c>
      <c r="C22" s="7">
        <f t="shared" si="1"/>
        <v>4</v>
      </c>
      <c r="D22" s="7">
        <f t="shared" si="2"/>
        <v>0</v>
      </c>
      <c r="E22" s="7">
        <f t="shared" si="3"/>
        <v>3</v>
      </c>
      <c r="F22" s="8">
        <v>0</v>
      </c>
      <c r="G22" s="8">
        <v>0</v>
      </c>
      <c r="H22" s="8">
        <v>1</v>
      </c>
      <c r="I22" s="17">
        <v>6</v>
      </c>
      <c r="J22" s="18">
        <v>4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6</v>
      </c>
      <c r="C23" s="7">
        <f t="shared" si="1"/>
        <v>3</v>
      </c>
      <c r="D23" s="7">
        <f t="shared" si="2"/>
        <v>1</v>
      </c>
      <c r="E23" s="7">
        <f t="shared" si="3"/>
        <v>2</v>
      </c>
      <c r="F23" s="8">
        <v>0</v>
      </c>
      <c r="G23" s="8">
        <v>0</v>
      </c>
      <c r="H23" s="8">
        <v>1</v>
      </c>
      <c r="I23" s="17">
        <v>5</v>
      </c>
      <c r="J23" s="18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7</v>
      </c>
      <c r="C24" s="7">
        <f t="shared" si="1"/>
        <v>4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7">
        <v>6</v>
      </c>
      <c r="J24" s="18">
        <v>3</v>
      </c>
      <c r="K24" s="18">
        <v>0</v>
      </c>
      <c r="L24" s="18">
        <v>3</v>
      </c>
    </row>
    <row r="25" spans="1:12" ht="18" customHeight="1">
      <c r="A25" s="6">
        <v>29155</v>
      </c>
      <c r="B25" s="6">
        <f t="shared" si="0"/>
        <v>7</v>
      </c>
      <c r="C25" s="7">
        <f t="shared" si="1"/>
        <v>3</v>
      </c>
      <c r="D25" s="7">
        <f t="shared" si="2"/>
        <v>0</v>
      </c>
      <c r="E25" s="7">
        <f t="shared" si="3"/>
        <v>4</v>
      </c>
      <c r="F25" s="8">
        <v>0</v>
      </c>
      <c r="G25" s="8">
        <v>0</v>
      </c>
      <c r="H25" s="8">
        <v>1</v>
      </c>
      <c r="I25" s="17">
        <v>6</v>
      </c>
      <c r="J25" s="18">
        <v>3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7</v>
      </c>
      <c r="C26" s="14">
        <f t="shared" si="1"/>
        <v>4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6</v>
      </c>
      <c r="J26" s="18">
        <v>3</v>
      </c>
      <c r="K26" s="18">
        <v>0</v>
      </c>
      <c r="L26" s="18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6</v>
      </c>
      <c r="J27" s="18">
        <v>4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5</v>
      </c>
      <c r="C28" s="7">
        <f t="shared" si="1"/>
        <v>5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4</v>
      </c>
      <c r="J28" s="18">
        <v>4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7</v>
      </c>
      <c r="C29" s="7">
        <f t="shared" si="1"/>
        <v>4</v>
      </c>
      <c r="D29" s="7">
        <f t="shared" si="2"/>
        <v>1</v>
      </c>
      <c r="E29" s="7">
        <f t="shared" si="3"/>
        <v>2</v>
      </c>
      <c r="F29" s="8">
        <v>1</v>
      </c>
      <c r="G29" s="8">
        <v>0</v>
      </c>
      <c r="H29" s="8">
        <v>0</v>
      </c>
      <c r="I29" s="17">
        <v>6</v>
      </c>
      <c r="J29" s="18">
        <v>3</v>
      </c>
      <c r="K29" s="18">
        <v>1</v>
      </c>
      <c r="L29" s="18">
        <v>2</v>
      </c>
    </row>
    <row r="30" spans="1:12" ht="18" customHeight="1">
      <c r="A30" s="6">
        <v>29160</v>
      </c>
      <c r="B30" s="6">
        <f t="shared" si="0"/>
        <v>7</v>
      </c>
      <c r="C30" s="7">
        <f t="shared" si="1"/>
        <v>2</v>
      </c>
      <c r="D30" s="7">
        <f t="shared" si="2"/>
        <v>0</v>
      </c>
      <c r="E30" s="7">
        <f t="shared" si="3"/>
        <v>5</v>
      </c>
      <c r="F30" s="8">
        <v>0</v>
      </c>
      <c r="G30" s="8">
        <v>0</v>
      </c>
      <c r="H30" s="8">
        <v>1</v>
      </c>
      <c r="I30" s="17">
        <v>6</v>
      </c>
      <c r="J30" s="18">
        <v>2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7</v>
      </c>
      <c r="C31" s="7">
        <f t="shared" si="1"/>
        <v>6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6</v>
      </c>
      <c r="J31" s="18">
        <v>5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7</v>
      </c>
      <c r="C32" s="7">
        <f t="shared" si="1"/>
        <v>4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7">
        <v>6</v>
      </c>
      <c r="J32" s="18">
        <v>3</v>
      </c>
      <c r="K32" s="18">
        <v>0</v>
      </c>
      <c r="L32" s="18">
        <v>3</v>
      </c>
    </row>
    <row r="33" spans="1:12" ht="15.5" customHeight="1">
      <c r="A33" s="6">
        <v>29163</v>
      </c>
      <c r="B33" s="6">
        <f t="shared" si="0"/>
        <v>7</v>
      </c>
      <c r="C33" s="7">
        <f t="shared" si="1"/>
        <v>5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6</v>
      </c>
      <c r="J33" s="18">
        <v>4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3</v>
      </c>
      <c r="C34" s="7">
        <f t="shared" si="1"/>
        <v>2</v>
      </c>
      <c r="D34" s="7">
        <f t="shared" si="2"/>
        <v>0</v>
      </c>
      <c r="E34" s="7">
        <f t="shared" si="3"/>
        <v>1</v>
      </c>
      <c r="F34" s="8">
        <v>1</v>
      </c>
      <c r="G34" s="8">
        <v>0</v>
      </c>
      <c r="H34" s="8">
        <v>0</v>
      </c>
      <c r="I34" s="17">
        <v>2</v>
      </c>
      <c r="J34" s="18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7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2</v>
      </c>
      <c r="F35" s="8">
        <v>1</v>
      </c>
      <c r="G35" s="8">
        <v>0</v>
      </c>
      <c r="H35" s="8">
        <v>0</v>
      </c>
      <c r="I35" s="17">
        <v>6</v>
      </c>
      <c r="J35" s="18">
        <v>4</v>
      </c>
      <c r="K35" s="18">
        <v>0</v>
      </c>
      <c r="L35" s="18">
        <v>2</v>
      </c>
    </row>
    <row r="36" spans="1:12" ht="15.5" customHeight="1">
      <c r="A36" s="6">
        <v>29166</v>
      </c>
      <c r="B36" s="6">
        <f t="shared" si="4"/>
        <v>7</v>
      </c>
      <c r="C36" s="7">
        <f t="shared" si="5"/>
        <v>5</v>
      </c>
      <c r="D36" s="7">
        <f t="shared" si="6"/>
        <v>0</v>
      </c>
      <c r="E36" s="7">
        <f t="shared" si="7"/>
        <v>2</v>
      </c>
      <c r="F36" s="8">
        <v>0</v>
      </c>
      <c r="G36" s="8">
        <v>0</v>
      </c>
      <c r="H36" s="8">
        <v>1</v>
      </c>
      <c r="I36" s="17">
        <v>6</v>
      </c>
      <c r="J36" s="18">
        <v>5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0</v>
      </c>
      <c r="I37" s="17">
        <v>6</v>
      </c>
      <c r="J37" s="18">
        <v>4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7</v>
      </c>
      <c r="C38" s="7">
        <f t="shared" si="5"/>
        <v>5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6</v>
      </c>
      <c r="J38" s="18">
        <v>4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1</v>
      </c>
      <c r="I39" s="17">
        <v>6</v>
      </c>
      <c r="J39" s="18">
        <v>1</v>
      </c>
      <c r="K39" s="18">
        <v>0</v>
      </c>
      <c r="L39" s="18">
        <v>5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8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1</v>
      </c>
      <c r="G41" s="8">
        <v>0</v>
      </c>
      <c r="H41" s="8">
        <v>0</v>
      </c>
      <c r="I41" s="17">
        <v>6</v>
      </c>
      <c r="J41" s="18">
        <v>2</v>
      </c>
      <c r="K41" s="18">
        <v>0</v>
      </c>
      <c r="L41" s="18">
        <v>4</v>
      </c>
    </row>
    <row r="42" spans="1:12" ht="15.5" customHeight="1">
      <c r="A42" s="6">
        <v>29172</v>
      </c>
      <c r="B42" s="6">
        <f t="shared" si="4"/>
        <v>7</v>
      </c>
      <c r="C42" s="7">
        <f t="shared" si="5"/>
        <v>0</v>
      </c>
      <c r="D42" s="7">
        <f t="shared" si="6"/>
        <v>1</v>
      </c>
      <c r="E42" s="7">
        <f t="shared" si="7"/>
        <v>6</v>
      </c>
      <c r="F42" s="8">
        <v>0</v>
      </c>
      <c r="G42" s="8">
        <v>0</v>
      </c>
      <c r="H42" s="8">
        <v>1</v>
      </c>
      <c r="I42" s="17">
        <v>6</v>
      </c>
      <c r="J42" s="18">
        <v>0</v>
      </c>
      <c r="K42" s="18">
        <v>1</v>
      </c>
      <c r="L42" s="18">
        <v>5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8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1</v>
      </c>
      <c r="G44" s="8">
        <v>0</v>
      </c>
      <c r="H44" s="8">
        <v>0</v>
      </c>
      <c r="I44" s="17">
        <v>1</v>
      </c>
      <c r="J44" s="18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4</v>
      </c>
      <c r="J45" s="18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7</v>
      </c>
      <c r="C46" s="7">
        <f t="shared" si="5"/>
        <v>6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6</v>
      </c>
      <c r="J46" s="18">
        <v>5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7</v>
      </c>
      <c r="C47" s="7">
        <f t="shared" si="5"/>
        <v>4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6</v>
      </c>
      <c r="J47" s="18">
        <v>3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7</v>
      </c>
      <c r="C48" s="7">
        <f t="shared" si="5"/>
        <v>4</v>
      </c>
      <c r="D48" s="7">
        <f t="shared" si="6"/>
        <v>0</v>
      </c>
      <c r="E48" s="7">
        <f t="shared" si="7"/>
        <v>4</v>
      </c>
      <c r="F48" s="8">
        <v>0</v>
      </c>
      <c r="G48" s="8">
        <v>0</v>
      </c>
      <c r="H48" s="8">
        <v>1</v>
      </c>
      <c r="I48" s="17">
        <v>6</v>
      </c>
      <c r="J48" s="18">
        <v>4</v>
      </c>
      <c r="K48" s="18">
        <v>0</v>
      </c>
      <c r="L48" s="18">
        <v>3</v>
      </c>
    </row>
    <row r="49" spans="1:12" ht="15.5" customHeight="1">
      <c r="A49" s="6">
        <v>29179</v>
      </c>
      <c r="B49" s="6">
        <f t="shared" si="4"/>
        <v>6</v>
      </c>
      <c r="C49" s="7">
        <f t="shared" si="5"/>
        <v>1</v>
      </c>
      <c r="D49" s="7">
        <f t="shared" si="6"/>
        <v>0</v>
      </c>
      <c r="E49" s="7">
        <f t="shared" si="7"/>
        <v>5</v>
      </c>
      <c r="F49" s="8">
        <v>0</v>
      </c>
      <c r="G49" s="8">
        <v>0</v>
      </c>
      <c r="H49" s="8">
        <v>1</v>
      </c>
      <c r="I49" s="17">
        <v>5</v>
      </c>
      <c r="J49" s="18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4</v>
      </c>
      <c r="C50" s="7">
        <f t="shared" si="5"/>
        <v>4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3</v>
      </c>
      <c r="J50" s="18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8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7</v>
      </c>
      <c r="C52" s="7">
        <f t="shared" si="5"/>
        <v>6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6</v>
      </c>
      <c r="J52" s="18">
        <v>5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256</v>
      </c>
      <c r="C1" s="2">
        <f>SUM(C3:C1001)</f>
        <v>166</v>
      </c>
      <c r="D1" s="2">
        <f>SUM(D3:D1001)</f>
        <v>9</v>
      </c>
      <c r="E1" s="2">
        <f>SUM(E3:E1001)</f>
        <v>82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6</v>
      </c>
      <c r="C3" s="7">
        <f t="shared" ref="C3:C34" si="1">F3+J3</f>
        <v>5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5</v>
      </c>
      <c r="J3" s="4">
        <v>4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5</v>
      </c>
      <c r="C4" s="7">
        <f t="shared" si="1"/>
        <v>2</v>
      </c>
      <c r="D4" s="7">
        <f t="shared" si="2"/>
        <v>0</v>
      </c>
      <c r="E4" s="7">
        <f t="shared" si="3"/>
        <v>3</v>
      </c>
      <c r="F4" s="8">
        <v>0</v>
      </c>
      <c r="G4" s="8">
        <v>0</v>
      </c>
      <c r="H4" s="8">
        <v>1</v>
      </c>
      <c r="I4" s="17">
        <v>4</v>
      </c>
      <c r="J4" s="17">
        <v>2</v>
      </c>
      <c r="K4" s="18">
        <v>0</v>
      </c>
      <c r="L4" s="18">
        <v>2</v>
      </c>
    </row>
    <row r="5" spans="1:12" ht="18" customHeight="1">
      <c r="A5" s="6">
        <v>29103</v>
      </c>
      <c r="B5" s="6">
        <f t="shared" si="0"/>
        <v>6</v>
      </c>
      <c r="C5" s="7">
        <f t="shared" si="1"/>
        <v>6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5</v>
      </c>
      <c r="J5" s="17">
        <v>5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6</v>
      </c>
      <c r="C6" s="7">
        <f t="shared" si="1"/>
        <v>5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5</v>
      </c>
      <c r="J6" s="17">
        <v>4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6</v>
      </c>
      <c r="C7" s="7">
        <f t="shared" si="1"/>
        <v>4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5</v>
      </c>
      <c r="J7" s="17">
        <v>3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7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6</v>
      </c>
      <c r="C9" s="7">
        <f t="shared" si="1"/>
        <v>3</v>
      </c>
      <c r="D9" s="7">
        <f t="shared" si="2"/>
        <v>0</v>
      </c>
      <c r="E9" s="7">
        <f t="shared" si="3"/>
        <v>3</v>
      </c>
      <c r="F9" s="8">
        <v>0</v>
      </c>
      <c r="G9" s="8">
        <v>0</v>
      </c>
      <c r="H9" s="8">
        <v>1</v>
      </c>
      <c r="I9" s="17">
        <v>5</v>
      </c>
      <c r="J9" s="17">
        <v>3</v>
      </c>
      <c r="K9" s="18">
        <v>0</v>
      </c>
      <c r="L9" s="18">
        <v>2</v>
      </c>
    </row>
    <row r="10" spans="1:12" ht="18" customHeight="1">
      <c r="A10" s="6">
        <v>29108</v>
      </c>
      <c r="B10" s="6">
        <f t="shared" si="0"/>
        <v>6</v>
      </c>
      <c r="C10" s="7">
        <f t="shared" si="1"/>
        <v>6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5</v>
      </c>
      <c r="J10" s="17">
        <v>5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4</v>
      </c>
      <c r="C11" s="7">
        <f t="shared" si="1"/>
        <v>4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3</v>
      </c>
      <c r="J11" s="17">
        <v>3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6</v>
      </c>
      <c r="C12" s="7">
        <f t="shared" si="1"/>
        <v>3</v>
      </c>
      <c r="D12" s="7">
        <f t="shared" si="2"/>
        <v>0</v>
      </c>
      <c r="E12" s="7">
        <f t="shared" si="3"/>
        <v>3</v>
      </c>
      <c r="F12" s="8">
        <v>0</v>
      </c>
      <c r="G12" s="8">
        <v>0</v>
      </c>
      <c r="H12" s="8">
        <v>1</v>
      </c>
      <c r="I12" s="17">
        <v>5</v>
      </c>
      <c r="J12" s="17">
        <v>3</v>
      </c>
      <c r="K12" s="18">
        <v>0</v>
      </c>
      <c r="L12" s="18">
        <v>2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7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6</v>
      </c>
      <c r="C14" s="7">
        <f t="shared" si="1"/>
        <v>5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5</v>
      </c>
      <c r="J14" s="17">
        <v>4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6</v>
      </c>
      <c r="C15" s="7">
        <f t="shared" si="1"/>
        <v>6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5</v>
      </c>
      <c r="J15" s="17">
        <v>5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5</v>
      </c>
      <c r="C16" s="7">
        <f t="shared" si="1"/>
        <v>2</v>
      </c>
      <c r="D16" s="7">
        <f t="shared" si="2"/>
        <v>0</v>
      </c>
      <c r="E16" s="7">
        <f t="shared" si="3"/>
        <v>3</v>
      </c>
      <c r="F16" s="8">
        <v>1</v>
      </c>
      <c r="G16" s="8">
        <v>0</v>
      </c>
      <c r="H16" s="8">
        <v>0</v>
      </c>
      <c r="I16" s="17">
        <v>4</v>
      </c>
      <c r="J16" s="17">
        <v>1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6</v>
      </c>
      <c r="C17" s="7">
        <f t="shared" si="1"/>
        <v>2</v>
      </c>
      <c r="D17" s="7">
        <f t="shared" si="2"/>
        <v>0</v>
      </c>
      <c r="E17" s="7">
        <f t="shared" si="3"/>
        <v>4</v>
      </c>
      <c r="F17" s="8">
        <v>1</v>
      </c>
      <c r="G17" s="8">
        <v>0</v>
      </c>
      <c r="H17" s="8">
        <v>0</v>
      </c>
      <c r="I17" s="17">
        <v>5</v>
      </c>
      <c r="J17" s="17">
        <v>1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7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1</v>
      </c>
      <c r="G19" s="8">
        <v>0</v>
      </c>
      <c r="H19" s="8">
        <v>0</v>
      </c>
      <c r="I19" s="17">
        <v>3</v>
      </c>
      <c r="J19" s="17">
        <v>2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6</v>
      </c>
      <c r="C20" s="7">
        <f t="shared" si="1"/>
        <v>4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5</v>
      </c>
      <c r="J20" s="17">
        <v>3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6</v>
      </c>
      <c r="C21" s="7">
        <f t="shared" si="1"/>
        <v>6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5</v>
      </c>
      <c r="J21" s="17">
        <v>5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6</v>
      </c>
      <c r="C22" s="7">
        <f t="shared" si="1"/>
        <v>4</v>
      </c>
      <c r="D22" s="7">
        <f t="shared" si="2"/>
        <v>0</v>
      </c>
      <c r="E22" s="7">
        <f t="shared" si="3"/>
        <v>2</v>
      </c>
      <c r="F22" s="8">
        <v>1</v>
      </c>
      <c r="G22" s="8">
        <v>0</v>
      </c>
      <c r="H22" s="8">
        <v>0</v>
      </c>
      <c r="I22" s="17">
        <v>5</v>
      </c>
      <c r="J22" s="17">
        <v>3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0</v>
      </c>
      <c r="I23" s="17">
        <v>5</v>
      </c>
      <c r="J23" s="17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6</v>
      </c>
      <c r="C24" s="7">
        <f t="shared" si="1"/>
        <v>3</v>
      </c>
      <c r="D24" s="7">
        <f t="shared" si="2"/>
        <v>0</v>
      </c>
      <c r="E24" s="7">
        <f t="shared" si="3"/>
        <v>3</v>
      </c>
      <c r="F24" s="8">
        <v>0</v>
      </c>
      <c r="G24" s="8">
        <v>0</v>
      </c>
      <c r="H24" s="8">
        <v>1</v>
      </c>
      <c r="I24" s="17">
        <v>5</v>
      </c>
      <c r="J24" s="17">
        <v>3</v>
      </c>
      <c r="K24" s="18">
        <v>0</v>
      </c>
      <c r="L24" s="18">
        <v>2</v>
      </c>
    </row>
    <row r="25" spans="1:12" ht="18" customHeight="1">
      <c r="A25" s="6">
        <v>29155</v>
      </c>
      <c r="B25" s="6">
        <f t="shared" si="0"/>
        <v>6</v>
      </c>
      <c r="C25" s="7">
        <f t="shared" si="1"/>
        <v>3</v>
      </c>
      <c r="D25" s="7">
        <f t="shared" si="2"/>
        <v>0</v>
      </c>
      <c r="E25" s="7">
        <f t="shared" si="3"/>
        <v>3</v>
      </c>
      <c r="F25" s="8">
        <v>1</v>
      </c>
      <c r="G25" s="8">
        <v>0</v>
      </c>
      <c r="H25" s="8">
        <v>0</v>
      </c>
      <c r="I25" s="17">
        <v>5</v>
      </c>
      <c r="J25" s="17">
        <v>2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6</v>
      </c>
      <c r="C26" s="14">
        <f t="shared" si="1"/>
        <v>3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5</v>
      </c>
      <c r="J26" s="19">
        <v>2</v>
      </c>
      <c r="K26" s="20">
        <v>0</v>
      </c>
      <c r="L26" s="20">
        <v>3</v>
      </c>
    </row>
    <row r="27" spans="1:12" ht="18" customHeight="1">
      <c r="A27" s="6">
        <v>29157</v>
      </c>
      <c r="B27" s="6">
        <f t="shared" si="0"/>
        <v>6</v>
      </c>
      <c r="C27" s="7">
        <f t="shared" si="1"/>
        <v>4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5</v>
      </c>
      <c r="J27" s="17">
        <v>3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4</v>
      </c>
      <c r="C28" s="7">
        <f t="shared" si="1"/>
        <v>4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3</v>
      </c>
      <c r="J28" s="17">
        <v>3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6</v>
      </c>
      <c r="C29" s="7">
        <f t="shared" si="1"/>
        <v>3</v>
      </c>
      <c r="D29" s="7">
        <f t="shared" si="2"/>
        <v>1</v>
      </c>
      <c r="E29" s="7">
        <f t="shared" si="3"/>
        <v>2</v>
      </c>
      <c r="F29" s="8">
        <v>0</v>
      </c>
      <c r="G29" s="8">
        <v>0</v>
      </c>
      <c r="H29" s="8">
        <v>1</v>
      </c>
      <c r="I29" s="17">
        <v>5</v>
      </c>
      <c r="J29" s="17">
        <v>3</v>
      </c>
      <c r="K29" s="18">
        <v>1</v>
      </c>
      <c r="L29" s="18">
        <v>1</v>
      </c>
    </row>
    <row r="30" spans="1:12" ht="18" customHeight="1">
      <c r="A30" s="6">
        <v>29160</v>
      </c>
      <c r="B30" s="6">
        <f t="shared" si="0"/>
        <v>6</v>
      </c>
      <c r="C30" s="7">
        <f t="shared" si="1"/>
        <v>2</v>
      </c>
      <c r="D30" s="7">
        <f t="shared" si="2"/>
        <v>0</v>
      </c>
      <c r="E30" s="7">
        <f t="shared" si="3"/>
        <v>4</v>
      </c>
      <c r="F30" s="8">
        <v>1</v>
      </c>
      <c r="G30" s="8">
        <v>0</v>
      </c>
      <c r="H30" s="8">
        <v>0</v>
      </c>
      <c r="I30" s="17">
        <v>5</v>
      </c>
      <c r="J30" s="17">
        <v>1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6</v>
      </c>
      <c r="C31" s="7">
        <f t="shared" si="1"/>
        <v>5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5</v>
      </c>
      <c r="J31" s="17">
        <v>4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6</v>
      </c>
      <c r="C32" s="7">
        <f t="shared" si="1"/>
        <v>3</v>
      </c>
      <c r="D32" s="7">
        <f t="shared" si="2"/>
        <v>0</v>
      </c>
      <c r="E32" s="7">
        <f t="shared" si="3"/>
        <v>3</v>
      </c>
      <c r="F32" s="8">
        <v>0</v>
      </c>
      <c r="G32" s="8">
        <v>0</v>
      </c>
      <c r="H32" s="8">
        <v>1</v>
      </c>
      <c r="I32" s="17">
        <v>5</v>
      </c>
      <c r="J32" s="17">
        <v>3</v>
      </c>
      <c r="K32" s="18">
        <v>0</v>
      </c>
      <c r="L32" s="18">
        <v>2</v>
      </c>
    </row>
    <row r="33" spans="1:12" ht="15.5" customHeight="1">
      <c r="A33" s="6">
        <v>29163</v>
      </c>
      <c r="B33" s="6">
        <f t="shared" si="0"/>
        <v>6</v>
      </c>
      <c r="C33" s="7">
        <f t="shared" si="1"/>
        <v>4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5</v>
      </c>
      <c r="J33" s="17">
        <v>3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2</v>
      </c>
      <c r="J34" s="17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6</v>
      </c>
      <c r="C35" s="7">
        <f t="shared" ref="C35:C52" si="5">F35+J35</f>
        <v>4</v>
      </c>
      <c r="D35" s="7">
        <f t="shared" ref="D35:D52" si="6">G35+K35</f>
        <v>0</v>
      </c>
      <c r="E35" s="7">
        <f t="shared" ref="E35:E52" si="7">H35+L35</f>
        <v>2</v>
      </c>
      <c r="F35" s="8">
        <v>0</v>
      </c>
      <c r="G35" s="8">
        <v>0</v>
      </c>
      <c r="H35" s="8">
        <v>1</v>
      </c>
      <c r="I35" s="17">
        <v>5</v>
      </c>
      <c r="J35" s="17">
        <v>4</v>
      </c>
      <c r="K35" s="18">
        <v>0</v>
      </c>
      <c r="L35" s="18">
        <v>1</v>
      </c>
    </row>
    <row r="36" spans="1:12" ht="15.5" customHeight="1">
      <c r="A36" s="6">
        <v>29166</v>
      </c>
      <c r="B36" s="6">
        <f t="shared" si="4"/>
        <v>6</v>
      </c>
      <c r="C36" s="7">
        <f t="shared" si="5"/>
        <v>5</v>
      </c>
      <c r="D36" s="7">
        <f t="shared" si="6"/>
        <v>0</v>
      </c>
      <c r="E36" s="7">
        <f t="shared" si="7"/>
        <v>1</v>
      </c>
      <c r="F36" s="8">
        <v>1</v>
      </c>
      <c r="G36" s="8">
        <v>0</v>
      </c>
      <c r="H36" s="8">
        <v>0</v>
      </c>
      <c r="I36" s="17">
        <v>5</v>
      </c>
      <c r="J36" s="17">
        <v>4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7">
        <v>5</v>
      </c>
      <c r="J37" s="17">
        <v>3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6</v>
      </c>
      <c r="C38" s="7">
        <f t="shared" si="5"/>
        <v>4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5</v>
      </c>
      <c r="J38" s="17">
        <v>3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6</v>
      </c>
      <c r="C39" s="7">
        <f t="shared" si="5"/>
        <v>1</v>
      </c>
      <c r="D39" s="7">
        <f t="shared" si="6"/>
        <v>0</v>
      </c>
      <c r="E39" s="7">
        <f t="shared" si="7"/>
        <v>5</v>
      </c>
      <c r="F39" s="8">
        <v>0</v>
      </c>
      <c r="G39" s="8">
        <v>0</v>
      </c>
      <c r="H39" s="8">
        <v>1</v>
      </c>
      <c r="I39" s="17">
        <v>5</v>
      </c>
      <c r="J39" s="17">
        <v>1</v>
      </c>
      <c r="K39" s="18">
        <v>0</v>
      </c>
      <c r="L39" s="18">
        <v>4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7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6</v>
      </c>
      <c r="C41" s="7">
        <f t="shared" si="5"/>
        <v>2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1</v>
      </c>
      <c r="I41" s="17">
        <v>5</v>
      </c>
      <c r="J41" s="17">
        <v>2</v>
      </c>
      <c r="K41" s="18">
        <v>0</v>
      </c>
      <c r="L41" s="18">
        <v>3</v>
      </c>
    </row>
    <row r="42" spans="1:12" ht="15.5" customHeight="1">
      <c r="A42" s="6">
        <v>29172</v>
      </c>
      <c r="B42" s="6">
        <f t="shared" si="4"/>
        <v>6</v>
      </c>
      <c r="C42" s="7">
        <f t="shared" si="5"/>
        <v>0</v>
      </c>
      <c r="D42" s="7">
        <f t="shared" si="6"/>
        <v>1</v>
      </c>
      <c r="E42" s="7">
        <f t="shared" si="7"/>
        <v>5</v>
      </c>
      <c r="F42" s="8">
        <v>0</v>
      </c>
      <c r="G42" s="8">
        <v>0</v>
      </c>
      <c r="H42" s="8">
        <v>1</v>
      </c>
      <c r="I42" s="17">
        <v>5</v>
      </c>
      <c r="J42" s="17">
        <v>0</v>
      </c>
      <c r="K42" s="18">
        <v>1</v>
      </c>
      <c r="L42" s="18">
        <v>4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7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7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7">
        <v>4</v>
      </c>
      <c r="J45" s="17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6</v>
      </c>
      <c r="C46" s="7">
        <f t="shared" si="5"/>
        <v>5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5</v>
      </c>
      <c r="J46" s="17">
        <v>4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6</v>
      </c>
      <c r="C47" s="7">
        <f t="shared" si="5"/>
        <v>3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5</v>
      </c>
      <c r="J47" s="17">
        <v>2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6</v>
      </c>
      <c r="C48" s="7">
        <f t="shared" si="5"/>
        <v>4</v>
      </c>
      <c r="D48" s="7">
        <f t="shared" si="6"/>
        <v>0</v>
      </c>
      <c r="E48" s="7">
        <f t="shared" si="7"/>
        <v>3</v>
      </c>
      <c r="F48" s="8">
        <v>1</v>
      </c>
      <c r="G48" s="8">
        <v>0</v>
      </c>
      <c r="H48" s="8">
        <v>1</v>
      </c>
      <c r="I48" s="17">
        <v>5</v>
      </c>
      <c r="J48" s="17">
        <v>3</v>
      </c>
      <c r="K48" s="18">
        <v>0</v>
      </c>
      <c r="L48" s="18">
        <v>2</v>
      </c>
    </row>
    <row r="49" spans="1:12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0</v>
      </c>
      <c r="I49" s="17">
        <v>5</v>
      </c>
      <c r="J49" s="17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0</v>
      </c>
      <c r="G50" s="8">
        <v>0</v>
      </c>
      <c r="H50" s="8">
        <v>0</v>
      </c>
      <c r="I50" s="17">
        <v>3</v>
      </c>
      <c r="J50" s="17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7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6</v>
      </c>
      <c r="C52" s="7">
        <f t="shared" si="5"/>
        <v>5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5</v>
      </c>
      <c r="J52" s="17">
        <v>4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3.6132812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07421875" style="31" customWidth="1"/>
    <col min="10" max="10" width="9.69140625" style="31" customWidth="1"/>
    <col min="11" max="11" width="9.3046875" style="31" customWidth="1"/>
  </cols>
  <sheetData>
    <row r="1" spans="1:11" ht="18" customHeight="1">
      <c r="A1" s="1"/>
      <c r="B1" s="1">
        <f>SUM(B3:B1001)</f>
        <v>218</v>
      </c>
      <c r="C1" s="2">
        <f>SUM(C3:C1001)</f>
        <v>138</v>
      </c>
      <c r="D1" s="2">
        <f>SUM(D3:D1001)</f>
        <v>9</v>
      </c>
      <c r="E1" s="2">
        <f>SUM(E3:E1001)</f>
        <v>71</v>
      </c>
      <c r="F1" s="3" t="s">
        <v>0</v>
      </c>
      <c r="G1" s="4"/>
      <c r="H1" s="4"/>
      <c r="I1" s="5"/>
      <c r="J1" s="5"/>
      <c r="K1" s="5"/>
    </row>
    <row r="2" spans="1:11" ht="18" customHeight="1">
      <c r="A2" s="1" t="s">
        <v>1</v>
      </c>
      <c r="B2" s="1" t="s">
        <v>16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10</v>
      </c>
      <c r="J2" s="4" t="s">
        <v>11</v>
      </c>
      <c r="K2" s="4" t="s">
        <v>12</v>
      </c>
    </row>
    <row r="3" spans="1:11" ht="18" customHeight="1">
      <c r="A3" s="6">
        <v>29101</v>
      </c>
      <c r="B3" s="6">
        <f t="shared" ref="B3:B34" si="0">C3+D3+E3</f>
        <v>5</v>
      </c>
      <c r="C3" s="7">
        <f t="shared" ref="C3:C34" si="1">F3+I3</f>
        <v>4</v>
      </c>
      <c r="D3" s="7">
        <f t="shared" ref="D3:D34" si="2">G3+J3</f>
        <v>0</v>
      </c>
      <c r="E3" s="7">
        <f t="shared" ref="E3:E34" si="3">H3+K3</f>
        <v>1</v>
      </c>
      <c r="F3" s="8">
        <v>0</v>
      </c>
      <c r="G3" s="8">
        <v>0</v>
      </c>
      <c r="H3" s="8">
        <v>1</v>
      </c>
      <c r="I3" s="4">
        <v>4</v>
      </c>
      <c r="J3" s="16">
        <v>0</v>
      </c>
      <c r="K3" s="16">
        <v>0</v>
      </c>
    </row>
    <row r="4" spans="1:11" ht="18" customHeight="1">
      <c r="A4" s="6">
        <v>29102</v>
      </c>
      <c r="B4" s="6">
        <f t="shared" si="0"/>
        <v>4</v>
      </c>
      <c r="C4" s="7">
        <f t="shared" si="1"/>
        <v>2</v>
      </c>
      <c r="D4" s="7">
        <f t="shared" si="2"/>
        <v>0</v>
      </c>
      <c r="E4" s="7">
        <f t="shared" si="3"/>
        <v>2</v>
      </c>
      <c r="F4" s="8">
        <v>0</v>
      </c>
      <c r="G4" s="8">
        <v>0</v>
      </c>
      <c r="H4" s="8">
        <v>1</v>
      </c>
      <c r="I4" s="17">
        <v>2</v>
      </c>
      <c r="J4" s="18">
        <v>0</v>
      </c>
      <c r="K4" s="18">
        <v>1</v>
      </c>
    </row>
    <row r="5" spans="1:11" ht="18" customHeight="1">
      <c r="A5" s="6">
        <v>29103</v>
      </c>
      <c r="B5" s="6">
        <f t="shared" si="0"/>
        <v>5</v>
      </c>
      <c r="C5" s="7">
        <f t="shared" si="1"/>
        <v>5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4</v>
      </c>
      <c r="J5" s="18">
        <v>0</v>
      </c>
      <c r="K5" s="18">
        <v>0</v>
      </c>
    </row>
    <row r="6" spans="1:11" ht="18" customHeight="1">
      <c r="A6" s="6">
        <v>29104</v>
      </c>
      <c r="B6" s="6">
        <f t="shared" si="0"/>
        <v>5</v>
      </c>
      <c r="C6" s="7">
        <f t="shared" si="1"/>
        <v>4</v>
      </c>
      <c r="D6" s="7">
        <f t="shared" si="2"/>
        <v>0</v>
      </c>
      <c r="E6" s="7">
        <f t="shared" si="3"/>
        <v>1</v>
      </c>
      <c r="F6" s="8">
        <v>0</v>
      </c>
      <c r="G6" s="8">
        <v>0</v>
      </c>
      <c r="H6" s="8">
        <v>1</v>
      </c>
      <c r="I6" s="17">
        <v>4</v>
      </c>
      <c r="J6" s="18">
        <v>0</v>
      </c>
      <c r="K6" s="18">
        <v>0</v>
      </c>
    </row>
    <row r="7" spans="1:11" ht="18" customHeight="1">
      <c r="A7" s="6">
        <v>29105</v>
      </c>
      <c r="B7" s="6">
        <f t="shared" si="0"/>
        <v>5</v>
      </c>
      <c r="C7" s="7">
        <f t="shared" si="1"/>
        <v>3</v>
      </c>
      <c r="D7" s="7">
        <f t="shared" si="2"/>
        <v>0</v>
      </c>
      <c r="E7" s="7">
        <f t="shared" si="3"/>
        <v>2</v>
      </c>
      <c r="F7" s="8">
        <v>0</v>
      </c>
      <c r="G7" s="8">
        <v>0</v>
      </c>
      <c r="H7" s="8">
        <v>1</v>
      </c>
      <c r="I7" s="17">
        <v>3</v>
      </c>
      <c r="J7" s="18">
        <v>0</v>
      </c>
      <c r="K7" s="18">
        <v>1</v>
      </c>
    </row>
    <row r="8" spans="1:11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2</v>
      </c>
      <c r="J8" s="18">
        <v>0</v>
      </c>
      <c r="K8" s="18">
        <v>1</v>
      </c>
    </row>
    <row r="9" spans="1:11" ht="18" customHeight="1">
      <c r="A9" s="6">
        <v>29107</v>
      </c>
      <c r="B9" s="6">
        <f t="shared" si="0"/>
        <v>5</v>
      </c>
      <c r="C9" s="7">
        <f t="shared" si="1"/>
        <v>3</v>
      </c>
      <c r="D9" s="7">
        <f t="shared" si="2"/>
        <v>0</v>
      </c>
      <c r="E9" s="7">
        <f t="shared" si="3"/>
        <v>2</v>
      </c>
      <c r="F9" s="8">
        <v>0</v>
      </c>
      <c r="G9" s="8">
        <v>0</v>
      </c>
      <c r="H9" s="8">
        <v>1</v>
      </c>
      <c r="I9" s="17">
        <v>3</v>
      </c>
      <c r="J9" s="18">
        <v>0</v>
      </c>
      <c r="K9" s="18">
        <v>1</v>
      </c>
    </row>
    <row r="10" spans="1:11" ht="18" customHeight="1">
      <c r="A10" s="6">
        <v>29108</v>
      </c>
      <c r="B10" s="6">
        <f t="shared" si="0"/>
        <v>5</v>
      </c>
      <c r="C10" s="7">
        <f t="shared" si="1"/>
        <v>5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4</v>
      </c>
      <c r="J10" s="18">
        <v>0</v>
      </c>
      <c r="K10" s="18">
        <v>0</v>
      </c>
    </row>
    <row r="11" spans="1:11" ht="18" customHeight="1">
      <c r="A11" s="6">
        <v>29109</v>
      </c>
      <c r="B11" s="6">
        <f t="shared" si="0"/>
        <v>3</v>
      </c>
      <c r="C11" s="7">
        <f t="shared" si="1"/>
        <v>3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2</v>
      </c>
      <c r="J11" s="18">
        <v>0</v>
      </c>
      <c r="K11" s="18">
        <v>0</v>
      </c>
    </row>
    <row r="12" spans="1:11" ht="18" customHeight="1">
      <c r="A12" s="6">
        <v>29110</v>
      </c>
      <c r="B12" s="6">
        <f t="shared" si="0"/>
        <v>5</v>
      </c>
      <c r="C12" s="7">
        <f t="shared" si="1"/>
        <v>3</v>
      </c>
      <c r="D12" s="7">
        <f t="shared" si="2"/>
        <v>0</v>
      </c>
      <c r="E12" s="7">
        <f t="shared" si="3"/>
        <v>2</v>
      </c>
      <c r="F12" s="8">
        <v>1</v>
      </c>
      <c r="G12" s="8">
        <v>0</v>
      </c>
      <c r="H12" s="8">
        <v>1</v>
      </c>
      <c r="I12" s="17">
        <v>2</v>
      </c>
      <c r="J12" s="18">
        <v>0</v>
      </c>
      <c r="K12" s="18">
        <v>1</v>
      </c>
    </row>
    <row r="13" spans="1:11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</row>
    <row r="14" spans="1:11" ht="18" customHeight="1">
      <c r="A14" s="6">
        <v>29112</v>
      </c>
      <c r="B14" s="6">
        <f t="shared" si="0"/>
        <v>5</v>
      </c>
      <c r="C14" s="7">
        <f t="shared" si="1"/>
        <v>4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3</v>
      </c>
      <c r="J14" s="18">
        <v>1</v>
      </c>
      <c r="K14" s="18">
        <v>0</v>
      </c>
    </row>
    <row r="15" spans="1:11" ht="18" customHeight="1">
      <c r="A15" s="6">
        <v>29113</v>
      </c>
      <c r="B15" s="6">
        <f t="shared" si="0"/>
        <v>5</v>
      </c>
      <c r="C15" s="7">
        <f t="shared" si="1"/>
        <v>5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4</v>
      </c>
      <c r="J15" s="18">
        <v>0</v>
      </c>
      <c r="K15" s="18">
        <v>0</v>
      </c>
    </row>
    <row r="16" spans="1:11" ht="18" customHeight="1">
      <c r="A16" s="6">
        <v>29114</v>
      </c>
      <c r="B16" s="6">
        <f t="shared" si="0"/>
        <v>4</v>
      </c>
      <c r="C16" s="7">
        <f t="shared" si="1"/>
        <v>1</v>
      </c>
      <c r="D16" s="7">
        <f t="shared" si="2"/>
        <v>0</v>
      </c>
      <c r="E16" s="7">
        <f t="shared" si="3"/>
        <v>3</v>
      </c>
      <c r="F16" s="8">
        <v>0</v>
      </c>
      <c r="G16" s="8">
        <v>0</v>
      </c>
      <c r="H16" s="8">
        <v>1</v>
      </c>
      <c r="I16" s="17">
        <v>1</v>
      </c>
      <c r="J16" s="18">
        <v>0</v>
      </c>
      <c r="K16" s="18">
        <v>2</v>
      </c>
    </row>
    <row r="17" spans="1:11" ht="18" customHeight="1">
      <c r="A17" s="6">
        <v>29115</v>
      </c>
      <c r="B17" s="6">
        <f t="shared" si="0"/>
        <v>5</v>
      </c>
      <c r="C17" s="7">
        <f t="shared" si="1"/>
        <v>1</v>
      </c>
      <c r="D17" s="7">
        <f t="shared" si="2"/>
        <v>0</v>
      </c>
      <c r="E17" s="7">
        <f t="shared" si="3"/>
        <v>4</v>
      </c>
      <c r="F17" s="8">
        <v>0</v>
      </c>
      <c r="G17" s="8">
        <v>0</v>
      </c>
      <c r="H17" s="8">
        <v>1</v>
      </c>
      <c r="I17" s="17">
        <v>1</v>
      </c>
      <c r="J17" s="18">
        <v>0</v>
      </c>
      <c r="K17" s="18">
        <v>3</v>
      </c>
    </row>
    <row r="18" spans="1:11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0</v>
      </c>
      <c r="K18" s="18">
        <v>0</v>
      </c>
    </row>
    <row r="19" spans="1:11" ht="18" customHeight="1">
      <c r="A19" s="6">
        <v>29117</v>
      </c>
      <c r="B19" s="6">
        <f t="shared" si="0"/>
        <v>3</v>
      </c>
      <c r="C19" s="7">
        <f t="shared" si="1"/>
        <v>2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1</v>
      </c>
      <c r="I19" s="17">
        <v>2</v>
      </c>
      <c r="J19" s="18">
        <v>0</v>
      </c>
      <c r="K19" s="18">
        <v>0</v>
      </c>
    </row>
    <row r="20" spans="1:11" ht="18" customHeight="1">
      <c r="A20" s="6">
        <v>29118</v>
      </c>
      <c r="B20" s="6">
        <f t="shared" si="0"/>
        <v>5</v>
      </c>
      <c r="C20" s="7">
        <f t="shared" si="1"/>
        <v>3</v>
      </c>
      <c r="D20" s="7">
        <f t="shared" si="2"/>
        <v>0</v>
      </c>
      <c r="E20" s="7">
        <f t="shared" si="3"/>
        <v>2</v>
      </c>
      <c r="F20" s="8">
        <v>0</v>
      </c>
      <c r="G20" s="8">
        <v>0</v>
      </c>
      <c r="H20" s="8">
        <v>1</v>
      </c>
      <c r="I20" s="17">
        <v>3</v>
      </c>
      <c r="J20" s="18">
        <v>0</v>
      </c>
      <c r="K20" s="18">
        <v>1</v>
      </c>
    </row>
    <row r="21" spans="1:11" ht="18" customHeight="1">
      <c r="A21" s="6">
        <v>29151</v>
      </c>
      <c r="B21" s="6">
        <f t="shared" si="0"/>
        <v>5</v>
      </c>
      <c r="C21" s="7">
        <f t="shared" si="1"/>
        <v>5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4</v>
      </c>
      <c r="J21" s="18">
        <v>0</v>
      </c>
      <c r="K21" s="18">
        <v>0</v>
      </c>
    </row>
    <row r="22" spans="1:11" ht="18" customHeight="1">
      <c r="A22" s="6">
        <v>29152</v>
      </c>
      <c r="B22" s="6">
        <f t="shared" si="0"/>
        <v>5</v>
      </c>
      <c r="C22" s="7">
        <f t="shared" si="1"/>
        <v>3</v>
      </c>
      <c r="D22" s="7">
        <f t="shared" si="2"/>
        <v>0</v>
      </c>
      <c r="E22" s="7">
        <f t="shared" si="3"/>
        <v>2</v>
      </c>
      <c r="F22" s="8">
        <v>0</v>
      </c>
      <c r="G22" s="8">
        <v>0</v>
      </c>
      <c r="H22" s="8">
        <v>1</v>
      </c>
      <c r="I22" s="17">
        <v>3</v>
      </c>
      <c r="J22" s="18">
        <v>0</v>
      </c>
      <c r="K22" s="18">
        <v>1</v>
      </c>
    </row>
    <row r="23" spans="1:11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1</v>
      </c>
      <c r="I23" s="17">
        <v>3</v>
      </c>
      <c r="J23" s="18">
        <v>1</v>
      </c>
      <c r="K23" s="18">
        <v>0</v>
      </c>
    </row>
    <row r="24" spans="1:11" ht="18" customHeight="1">
      <c r="A24" s="6">
        <v>29154</v>
      </c>
      <c r="B24" s="6">
        <f t="shared" si="0"/>
        <v>5</v>
      </c>
      <c r="C24" s="7">
        <f t="shared" si="1"/>
        <v>3</v>
      </c>
      <c r="D24" s="7">
        <f t="shared" si="2"/>
        <v>0</v>
      </c>
      <c r="E24" s="7">
        <f t="shared" si="3"/>
        <v>2</v>
      </c>
      <c r="F24" s="8">
        <v>1</v>
      </c>
      <c r="G24" s="8">
        <v>0</v>
      </c>
      <c r="H24" s="8">
        <v>0</v>
      </c>
      <c r="I24" s="17">
        <v>2</v>
      </c>
      <c r="J24" s="18">
        <v>0</v>
      </c>
      <c r="K24" s="18">
        <v>2</v>
      </c>
    </row>
    <row r="25" spans="1:11" ht="18" customHeight="1">
      <c r="A25" s="6">
        <v>29155</v>
      </c>
      <c r="B25" s="6">
        <f t="shared" si="0"/>
        <v>5</v>
      </c>
      <c r="C25" s="7">
        <f t="shared" si="1"/>
        <v>2</v>
      </c>
      <c r="D25" s="7">
        <f t="shared" si="2"/>
        <v>0</v>
      </c>
      <c r="E25" s="7">
        <f t="shared" si="3"/>
        <v>3</v>
      </c>
      <c r="F25" s="8">
        <v>0</v>
      </c>
      <c r="G25" s="8">
        <v>0</v>
      </c>
      <c r="H25" s="8">
        <v>1</v>
      </c>
      <c r="I25" s="17">
        <v>2</v>
      </c>
      <c r="J25" s="18">
        <v>0</v>
      </c>
      <c r="K25" s="18">
        <v>2</v>
      </c>
    </row>
    <row r="26" spans="1:11" s="32" customFormat="1" ht="18" customHeight="1">
      <c r="A26" s="21">
        <v>29156</v>
      </c>
      <c r="B26" s="21">
        <f t="shared" si="0"/>
        <v>5</v>
      </c>
      <c r="C26" s="22">
        <f t="shared" si="1"/>
        <v>2</v>
      </c>
      <c r="D26" s="22">
        <f t="shared" si="2"/>
        <v>0</v>
      </c>
      <c r="E26" s="22">
        <f t="shared" si="3"/>
        <v>3</v>
      </c>
      <c r="F26" s="23">
        <v>0</v>
      </c>
      <c r="G26" s="23">
        <v>0</v>
      </c>
      <c r="H26" s="23">
        <v>1</v>
      </c>
      <c r="I26" s="24">
        <v>2</v>
      </c>
      <c r="J26" s="25">
        <v>0</v>
      </c>
      <c r="K26" s="25">
        <v>2</v>
      </c>
    </row>
    <row r="27" spans="1:11" ht="18" customHeight="1">
      <c r="A27" s="6">
        <v>29157</v>
      </c>
      <c r="B27" s="6">
        <f t="shared" si="0"/>
        <v>5</v>
      </c>
      <c r="C27" s="7">
        <f t="shared" si="1"/>
        <v>3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1</v>
      </c>
      <c r="I27" s="17">
        <v>3</v>
      </c>
      <c r="J27" s="18">
        <v>1</v>
      </c>
      <c r="K27" s="18">
        <v>0</v>
      </c>
    </row>
    <row r="28" spans="1:11" ht="18" customHeight="1">
      <c r="A28" s="6">
        <v>29158</v>
      </c>
      <c r="B28" s="6">
        <f t="shared" si="0"/>
        <v>3</v>
      </c>
      <c r="C28" s="7">
        <f t="shared" si="1"/>
        <v>3</v>
      </c>
      <c r="D28" s="7">
        <f t="shared" si="2"/>
        <v>0</v>
      </c>
      <c r="E28" s="7">
        <f t="shared" si="3"/>
        <v>0</v>
      </c>
      <c r="F28" s="8">
        <v>0</v>
      </c>
      <c r="G28" s="8">
        <v>0</v>
      </c>
      <c r="H28" s="8">
        <v>0</v>
      </c>
      <c r="I28" s="17">
        <v>3</v>
      </c>
      <c r="J28" s="18">
        <v>0</v>
      </c>
      <c r="K28" s="18">
        <v>0</v>
      </c>
    </row>
    <row r="29" spans="1:11" ht="18" customHeight="1">
      <c r="A29" s="6">
        <v>29159</v>
      </c>
      <c r="B29" s="6">
        <f t="shared" si="0"/>
        <v>5</v>
      </c>
      <c r="C29" s="7">
        <f t="shared" si="1"/>
        <v>3</v>
      </c>
      <c r="D29" s="7">
        <f t="shared" si="2"/>
        <v>1</v>
      </c>
      <c r="E29" s="7">
        <f t="shared" si="3"/>
        <v>1</v>
      </c>
      <c r="F29" s="8">
        <v>1</v>
      </c>
      <c r="G29" s="8">
        <v>0</v>
      </c>
      <c r="H29" s="8">
        <v>0</v>
      </c>
      <c r="I29" s="17">
        <v>2</v>
      </c>
      <c r="J29" s="18">
        <v>1</v>
      </c>
      <c r="K29" s="18">
        <v>1</v>
      </c>
    </row>
    <row r="30" spans="1:11" ht="18" customHeight="1">
      <c r="A30" s="6">
        <v>29160</v>
      </c>
      <c r="B30" s="6">
        <f t="shared" si="0"/>
        <v>5</v>
      </c>
      <c r="C30" s="7">
        <f t="shared" si="1"/>
        <v>1</v>
      </c>
      <c r="D30" s="7">
        <f t="shared" si="2"/>
        <v>0</v>
      </c>
      <c r="E30" s="7">
        <f t="shared" si="3"/>
        <v>4</v>
      </c>
      <c r="F30" s="8">
        <v>0</v>
      </c>
      <c r="G30" s="8">
        <v>0</v>
      </c>
      <c r="H30" s="8">
        <v>1</v>
      </c>
      <c r="I30" s="17">
        <v>1</v>
      </c>
      <c r="J30" s="18">
        <v>0</v>
      </c>
      <c r="K30" s="18">
        <v>3</v>
      </c>
    </row>
    <row r="31" spans="1:11" ht="18" customHeight="1">
      <c r="A31" s="6">
        <v>29161</v>
      </c>
      <c r="B31" s="6">
        <f t="shared" si="0"/>
        <v>5</v>
      </c>
      <c r="C31" s="7">
        <f t="shared" si="1"/>
        <v>4</v>
      </c>
      <c r="D31" s="7">
        <f t="shared" si="2"/>
        <v>0</v>
      </c>
      <c r="E31" s="7">
        <f t="shared" si="3"/>
        <v>1</v>
      </c>
      <c r="F31" s="8">
        <v>0</v>
      </c>
      <c r="G31" s="8">
        <v>0</v>
      </c>
      <c r="H31" s="8">
        <v>1</v>
      </c>
      <c r="I31" s="17">
        <v>4</v>
      </c>
      <c r="J31" s="18">
        <v>0</v>
      </c>
      <c r="K31" s="18">
        <v>0</v>
      </c>
    </row>
    <row r="32" spans="1:11" ht="18" customHeight="1">
      <c r="A32" s="6">
        <v>29162</v>
      </c>
      <c r="B32" s="6">
        <f t="shared" si="0"/>
        <v>5</v>
      </c>
      <c r="C32" s="7">
        <f t="shared" si="1"/>
        <v>3</v>
      </c>
      <c r="D32" s="7">
        <f t="shared" si="2"/>
        <v>0</v>
      </c>
      <c r="E32" s="7">
        <f t="shared" si="3"/>
        <v>2</v>
      </c>
      <c r="F32" s="8">
        <v>0</v>
      </c>
      <c r="G32" s="8">
        <v>0</v>
      </c>
      <c r="H32" s="8">
        <v>1</v>
      </c>
      <c r="I32" s="17">
        <v>3</v>
      </c>
      <c r="J32" s="18">
        <v>0</v>
      </c>
      <c r="K32" s="18">
        <v>1</v>
      </c>
    </row>
    <row r="33" spans="1:11" ht="15.5" customHeight="1">
      <c r="A33" s="6">
        <v>29163</v>
      </c>
      <c r="B33" s="6">
        <f t="shared" si="0"/>
        <v>5</v>
      </c>
      <c r="C33" s="7">
        <f t="shared" si="1"/>
        <v>3</v>
      </c>
      <c r="D33" s="7">
        <f t="shared" si="2"/>
        <v>1</v>
      </c>
      <c r="E33" s="7">
        <f t="shared" si="3"/>
        <v>1</v>
      </c>
      <c r="F33" s="8">
        <v>0</v>
      </c>
      <c r="G33" s="8">
        <v>0</v>
      </c>
      <c r="H33" s="8">
        <v>1</v>
      </c>
      <c r="I33" s="17">
        <v>3</v>
      </c>
      <c r="J33" s="18">
        <v>1</v>
      </c>
      <c r="K33" s="18">
        <v>0</v>
      </c>
    </row>
    <row r="34" spans="1:11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1</v>
      </c>
      <c r="J34" s="18">
        <v>0</v>
      </c>
      <c r="K34" s="18">
        <v>1</v>
      </c>
    </row>
    <row r="35" spans="1:11" ht="15.5" customHeight="1">
      <c r="A35" s="6">
        <v>29165</v>
      </c>
      <c r="B35" s="6">
        <f t="shared" ref="B35:B66" si="4">C35+D35+E35</f>
        <v>5</v>
      </c>
      <c r="C35" s="7">
        <f t="shared" ref="C35:C52" si="5">F35+I35</f>
        <v>4</v>
      </c>
      <c r="D35" s="7">
        <f t="shared" ref="D35:D52" si="6">G35+J35</f>
        <v>0</v>
      </c>
      <c r="E35" s="7">
        <f t="shared" ref="E35:E52" si="7">H35+K35</f>
        <v>1</v>
      </c>
      <c r="F35" s="8">
        <v>0</v>
      </c>
      <c r="G35" s="8">
        <v>0</v>
      </c>
      <c r="H35" s="8">
        <v>1</v>
      </c>
      <c r="I35" s="17">
        <v>4</v>
      </c>
      <c r="J35" s="18">
        <v>0</v>
      </c>
      <c r="K35" s="18">
        <v>0</v>
      </c>
    </row>
    <row r="36" spans="1:11" ht="15.5" customHeight="1">
      <c r="A36" s="6">
        <v>29166</v>
      </c>
      <c r="B36" s="6">
        <f t="shared" si="4"/>
        <v>5</v>
      </c>
      <c r="C36" s="7">
        <f t="shared" si="5"/>
        <v>4</v>
      </c>
      <c r="D36" s="7">
        <f t="shared" si="6"/>
        <v>0</v>
      </c>
      <c r="E36" s="7">
        <f t="shared" si="7"/>
        <v>1</v>
      </c>
      <c r="F36" s="8">
        <v>0</v>
      </c>
      <c r="G36" s="8">
        <v>0</v>
      </c>
      <c r="H36" s="8">
        <v>1</v>
      </c>
      <c r="I36" s="17">
        <v>4</v>
      </c>
      <c r="J36" s="18">
        <v>0</v>
      </c>
      <c r="K36" s="18">
        <v>0</v>
      </c>
    </row>
    <row r="37" spans="1:11" ht="15.5" customHeight="1">
      <c r="A37" s="6">
        <v>29167</v>
      </c>
      <c r="B37" s="6">
        <f t="shared" si="4"/>
        <v>5</v>
      </c>
      <c r="C37" s="7">
        <f t="shared" si="5"/>
        <v>3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1</v>
      </c>
      <c r="I37" s="17">
        <v>3</v>
      </c>
      <c r="J37" s="18">
        <v>0</v>
      </c>
      <c r="K37" s="18">
        <v>1</v>
      </c>
    </row>
    <row r="38" spans="1:11" ht="15.5" customHeight="1">
      <c r="A38" s="6">
        <v>29168</v>
      </c>
      <c r="B38" s="6">
        <f t="shared" si="4"/>
        <v>5</v>
      </c>
      <c r="C38" s="7">
        <f t="shared" si="5"/>
        <v>3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2</v>
      </c>
      <c r="J38" s="18">
        <v>1</v>
      </c>
      <c r="K38" s="18">
        <v>1</v>
      </c>
    </row>
    <row r="39" spans="1:11" ht="15.5" customHeight="1">
      <c r="A39" s="6">
        <v>29169</v>
      </c>
      <c r="B39" s="6">
        <f t="shared" si="4"/>
        <v>5</v>
      </c>
      <c r="C39" s="7">
        <f t="shared" si="5"/>
        <v>1</v>
      </c>
      <c r="D39" s="7">
        <f t="shared" si="6"/>
        <v>0</v>
      </c>
      <c r="E39" s="7">
        <f t="shared" si="7"/>
        <v>4</v>
      </c>
      <c r="F39" s="8">
        <v>0</v>
      </c>
      <c r="G39" s="8">
        <v>0</v>
      </c>
      <c r="H39" s="8">
        <v>1</v>
      </c>
      <c r="I39" s="17">
        <v>1</v>
      </c>
      <c r="J39" s="18">
        <v>0</v>
      </c>
      <c r="K39" s="18">
        <v>3</v>
      </c>
    </row>
    <row r="40" spans="1:11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7">
        <v>2</v>
      </c>
      <c r="J40" s="18">
        <v>2</v>
      </c>
      <c r="K40" s="18">
        <v>0</v>
      </c>
    </row>
    <row r="41" spans="1:11" ht="15.5" customHeight="1">
      <c r="A41" s="6">
        <v>29171</v>
      </c>
      <c r="B41" s="6">
        <f t="shared" si="4"/>
        <v>5</v>
      </c>
      <c r="C41" s="7">
        <f t="shared" si="5"/>
        <v>2</v>
      </c>
      <c r="D41" s="7">
        <f t="shared" si="6"/>
        <v>0</v>
      </c>
      <c r="E41" s="7">
        <f t="shared" si="7"/>
        <v>3</v>
      </c>
      <c r="F41" s="8">
        <v>0</v>
      </c>
      <c r="G41" s="8">
        <v>0</v>
      </c>
      <c r="H41" s="8">
        <v>1</v>
      </c>
      <c r="I41" s="17">
        <v>2</v>
      </c>
      <c r="J41" s="18">
        <v>0</v>
      </c>
      <c r="K41" s="18">
        <v>2</v>
      </c>
    </row>
    <row r="42" spans="1:11" ht="15.5" customHeight="1">
      <c r="A42" s="6">
        <v>29172</v>
      </c>
      <c r="B42" s="6">
        <f t="shared" si="4"/>
        <v>5</v>
      </c>
      <c r="C42" s="7">
        <f t="shared" si="5"/>
        <v>0</v>
      </c>
      <c r="D42" s="7">
        <f t="shared" si="6"/>
        <v>1</v>
      </c>
      <c r="E42" s="7">
        <f t="shared" si="7"/>
        <v>4</v>
      </c>
      <c r="F42" s="8">
        <v>0</v>
      </c>
      <c r="G42" s="8">
        <v>0</v>
      </c>
      <c r="H42" s="8">
        <v>1</v>
      </c>
      <c r="I42" s="17">
        <v>0</v>
      </c>
      <c r="J42" s="18">
        <v>1</v>
      </c>
      <c r="K42" s="18">
        <v>3</v>
      </c>
    </row>
    <row r="43" spans="1:11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7">
        <v>3</v>
      </c>
      <c r="J43" s="18">
        <v>0</v>
      </c>
      <c r="K43" s="18">
        <v>0</v>
      </c>
    </row>
    <row r="44" spans="1:11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8">
        <v>0</v>
      </c>
      <c r="K44" s="18">
        <v>0</v>
      </c>
    </row>
    <row r="45" spans="1:11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3</v>
      </c>
      <c r="J45" s="18">
        <v>0</v>
      </c>
      <c r="K45" s="18">
        <v>0</v>
      </c>
    </row>
    <row r="46" spans="1:11" ht="15.5" customHeight="1">
      <c r="A46" s="6">
        <v>29176</v>
      </c>
      <c r="B46" s="6">
        <f t="shared" si="4"/>
        <v>5</v>
      </c>
      <c r="C46" s="7">
        <f t="shared" si="5"/>
        <v>4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3</v>
      </c>
      <c r="J46" s="18">
        <v>0</v>
      </c>
      <c r="K46" s="18">
        <v>1</v>
      </c>
    </row>
    <row r="47" spans="1:11" ht="15.5" customHeight="1">
      <c r="A47" s="6">
        <v>29177</v>
      </c>
      <c r="B47" s="6">
        <f t="shared" si="4"/>
        <v>5</v>
      </c>
      <c r="C47" s="7">
        <f t="shared" si="5"/>
        <v>2</v>
      </c>
      <c r="D47" s="7">
        <f t="shared" si="6"/>
        <v>0</v>
      </c>
      <c r="E47" s="7">
        <f t="shared" si="7"/>
        <v>3</v>
      </c>
      <c r="F47" s="8">
        <v>0</v>
      </c>
      <c r="G47" s="8">
        <v>0</v>
      </c>
      <c r="H47" s="8">
        <v>1</v>
      </c>
      <c r="I47" s="17">
        <v>2</v>
      </c>
      <c r="J47" s="18">
        <v>0</v>
      </c>
      <c r="K47" s="18">
        <v>2</v>
      </c>
    </row>
    <row r="48" spans="1:11" ht="15.5" customHeight="1">
      <c r="A48" s="6">
        <v>29178</v>
      </c>
      <c r="B48" s="6">
        <f t="shared" si="4"/>
        <v>5</v>
      </c>
      <c r="C48" s="7">
        <f t="shared" si="5"/>
        <v>3</v>
      </c>
      <c r="D48" s="7">
        <f t="shared" si="6"/>
        <v>0</v>
      </c>
      <c r="E48" s="7">
        <f t="shared" si="7"/>
        <v>2</v>
      </c>
      <c r="F48" s="8">
        <v>1</v>
      </c>
      <c r="G48" s="8">
        <v>0</v>
      </c>
      <c r="H48" s="8">
        <v>0</v>
      </c>
      <c r="I48" s="17">
        <v>2</v>
      </c>
      <c r="J48" s="18">
        <v>0</v>
      </c>
      <c r="K48" s="18">
        <v>2</v>
      </c>
    </row>
    <row r="49" spans="1:11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1</v>
      </c>
      <c r="I49" s="17">
        <v>1</v>
      </c>
      <c r="J49" s="18">
        <v>0</v>
      </c>
      <c r="K49" s="18">
        <v>3</v>
      </c>
    </row>
    <row r="50" spans="1:11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2</v>
      </c>
      <c r="J50" s="18">
        <v>0</v>
      </c>
      <c r="K50" s="18">
        <v>0</v>
      </c>
    </row>
    <row r="51" spans="1:11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1</v>
      </c>
      <c r="I51" s="17">
        <v>0</v>
      </c>
      <c r="J51" s="18">
        <v>0</v>
      </c>
      <c r="K51" s="18">
        <v>0</v>
      </c>
    </row>
    <row r="52" spans="1:11" ht="15.5" customHeight="1">
      <c r="A52" s="6">
        <v>29182</v>
      </c>
      <c r="B52" s="6">
        <f t="shared" si="4"/>
        <v>5</v>
      </c>
      <c r="C52" s="7">
        <f t="shared" si="5"/>
        <v>4</v>
      </c>
      <c r="D52" s="7">
        <f t="shared" si="6"/>
        <v>0</v>
      </c>
      <c r="E52" s="7">
        <f t="shared" si="7"/>
        <v>1</v>
      </c>
      <c r="F52" s="8">
        <v>0</v>
      </c>
      <c r="G52" s="8">
        <v>0</v>
      </c>
      <c r="H52" s="8">
        <v>1</v>
      </c>
      <c r="I52" s="17">
        <v>4</v>
      </c>
      <c r="J52" s="18">
        <v>0</v>
      </c>
      <c r="K52" s="18">
        <v>0</v>
      </c>
    </row>
  </sheetData>
  <phoneticPr fontId="1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/>
  </sheetViews>
  <sheetFormatPr defaultColWidth="14.15234375" defaultRowHeight="18" customHeight="1"/>
  <cols>
    <col min="1" max="4" width="7.765625" style="31" customWidth="1"/>
    <col min="5" max="26" width="13.53515625" style="31" customWidth="1"/>
  </cols>
  <sheetData>
    <row r="1" spans="1:9" ht="18" customHeight="1">
      <c r="A1" s="8"/>
      <c r="B1" s="9">
        <v>14</v>
      </c>
      <c r="C1" s="10">
        <v>13</v>
      </c>
      <c r="D1" s="10">
        <v>0</v>
      </c>
      <c r="E1" s="10">
        <v>1</v>
      </c>
      <c r="G1" s="15">
        <v>1</v>
      </c>
      <c r="H1" s="15">
        <v>0</v>
      </c>
      <c r="I1" s="15">
        <v>0</v>
      </c>
    </row>
    <row r="2" spans="1:9" ht="18" customHeight="1">
      <c r="A2" s="8"/>
      <c r="B2" s="11">
        <v>14</v>
      </c>
      <c r="C2" s="12">
        <v>6</v>
      </c>
      <c r="D2" s="12">
        <v>0</v>
      </c>
      <c r="E2" s="12">
        <v>8</v>
      </c>
      <c r="G2" s="15">
        <v>1</v>
      </c>
      <c r="H2" s="15">
        <v>0</v>
      </c>
      <c r="I2" s="15">
        <v>0</v>
      </c>
    </row>
    <row r="3" spans="1:9" ht="18" customHeight="1">
      <c r="A3" s="8"/>
      <c r="B3" s="11">
        <v>15</v>
      </c>
      <c r="C3" s="12">
        <v>14</v>
      </c>
      <c r="D3" s="12">
        <v>0</v>
      </c>
      <c r="E3" s="12">
        <v>1</v>
      </c>
      <c r="G3" s="15">
        <v>0</v>
      </c>
      <c r="H3" s="15">
        <v>0</v>
      </c>
      <c r="I3" s="15">
        <v>1</v>
      </c>
    </row>
    <row r="4" spans="1:9" ht="18" customHeight="1">
      <c r="A4" s="8"/>
      <c r="B4" s="11">
        <v>15</v>
      </c>
      <c r="C4" s="12">
        <v>12</v>
      </c>
      <c r="D4" s="12">
        <v>0</v>
      </c>
      <c r="E4" s="12">
        <v>3</v>
      </c>
      <c r="G4" s="15">
        <v>0</v>
      </c>
      <c r="H4" s="15">
        <v>0</v>
      </c>
      <c r="I4" s="15">
        <v>1</v>
      </c>
    </row>
    <row r="5" spans="1:9" ht="18" customHeight="1">
      <c r="A5" s="8"/>
      <c r="B5" s="11">
        <v>14</v>
      </c>
      <c r="C5" s="12">
        <v>11</v>
      </c>
      <c r="D5" s="12">
        <v>0</v>
      </c>
      <c r="E5" s="12">
        <v>3</v>
      </c>
      <c r="G5" s="15">
        <v>0</v>
      </c>
      <c r="H5" s="15">
        <v>0</v>
      </c>
      <c r="I5" s="15">
        <v>1</v>
      </c>
    </row>
    <row r="6" spans="1:9" ht="18" customHeight="1">
      <c r="A6" s="8"/>
      <c r="B6" s="11">
        <v>8</v>
      </c>
      <c r="C6" s="12">
        <v>4</v>
      </c>
      <c r="D6" s="12">
        <v>0</v>
      </c>
      <c r="E6" s="12">
        <v>4</v>
      </c>
      <c r="G6" s="15">
        <v>0</v>
      </c>
      <c r="H6" s="15">
        <v>0</v>
      </c>
      <c r="I6" s="15">
        <v>0</v>
      </c>
    </row>
    <row r="7" spans="1:9" ht="18" customHeight="1">
      <c r="A7" s="8"/>
      <c r="B7" s="11">
        <v>15</v>
      </c>
      <c r="C7" s="12">
        <v>6</v>
      </c>
      <c r="D7" s="12">
        <v>0</v>
      </c>
      <c r="E7" s="12">
        <v>9</v>
      </c>
      <c r="G7" s="15">
        <v>0</v>
      </c>
      <c r="H7" s="15">
        <v>0</v>
      </c>
      <c r="I7" s="15">
        <v>1</v>
      </c>
    </row>
    <row r="8" spans="1:9" ht="18" customHeight="1">
      <c r="A8" s="8"/>
      <c r="B8" s="11">
        <v>15</v>
      </c>
      <c r="C8" s="12">
        <v>10</v>
      </c>
      <c r="D8" s="12">
        <v>0</v>
      </c>
      <c r="E8" s="12">
        <v>5</v>
      </c>
      <c r="G8" s="15">
        <v>1</v>
      </c>
      <c r="H8" s="15">
        <v>0</v>
      </c>
      <c r="I8" s="15">
        <v>0</v>
      </c>
    </row>
    <row r="9" spans="1:9" ht="18" customHeight="1">
      <c r="A9" s="8"/>
      <c r="B9" s="11">
        <v>10</v>
      </c>
      <c r="C9" s="12">
        <v>7</v>
      </c>
      <c r="D9" s="12">
        <v>0</v>
      </c>
      <c r="E9" s="12">
        <v>3</v>
      </c>
      <c r="G9" s="15">
        <v>0</v>
      </c>
      <c r="H9" s="15">
        <v>0</v>
      </c>
      <c r="I9" s="15">
        <v>0</v>
      </c>
    </row>
    <row r="10" spans="1:9" ht="18" customHeight="1">
      <c r="A10" s="8"/>
      <c r="B10" s="11">
        <v>15</v>
      </c>
      <c r="C10" s="12">
        <v>3</v>
      </c>
      <c r="D10" s="12">
        <v>0</v>
      </c>
      <c r="E10" s="12">
        <v>12</v>
      </c>
      <c r="G10" s="15">
        <v>0</v>
      </c>
      <c r="H10" s="15">
        <v>0</v>
      </c>
      <c r="I10" s="15">
        <v>1</v>
      </c>
    </row>
    <row r="11" spans="1:9" ht="18" customHeight="1">
      <c r="A11" s="8"/>
      <c r="B11" s="11">
        <v>0</v>
      </c>
      <c r="C11" s="12">
        <v>0</v>
      </c>
      <c r="D11" s="12">
        <v>0</v>
      </c>
      <c r="E11" s="12">
        <v>0</v>
      </c>
      <c r="G11" s="15">
        <v>0</v>
      </c>
      <c r="H11" s="15">
        <v>0</v>
      </c>
      <c r="I11" s="15">
        <v>0</v>
      </c>
    </row>
    <row r="12" spans="1:9" ht="18" customHeight="1">
      <c r="A12" s="8"/>
      <c r="B12" s="11">
        <v>15</v>
      </c>
      <c r="C12" s="12">
        <v>11</v>
      </c>
      <c r="D12" s="12">
        <v>1</v>
      </c>
      <c r="E12" s="12">
        <v>3</v>
      </c>
      <c r="G12" s="15">
        <v>0</v>
      </c>
      <c r="H12" s="15">
        <v>0</v>
      </c>
      <c r="I12" s="15">
        <v>1</v>
      </c>
    </row>
    <row r="13" spans="1:9" ht="18" customHeight="1">
      <c r="A13" s="8"/>
      <c r="B13" s="11">
        <v>15</v>
      </c>
      <c r="C13" s="12">
        <v>15</v>
      </c>
      <c r="D13" s="12">
        <v>0</v>
      </c>
      <c r="E13" s="12">
        <v>0</v>
      </c>
      <c r="G13" s="15">
        <v>1</v>
      </c>
      <c r="H13" s="15">
        <v>0</v>
      </c>
      <c r="I13" s="15">
        <v>0</v>
      </c>
    </row>
    <row r="14" spans="1:9" ht="18" customHeight="1">
      <c r="A14" s="8"/>
      <c r="B14" s="11">
        <v>13</v>
      </c>
      <c r="C14" s="12">
        <v>3</v>
      </c>
      <c r="D14" s="12">
        <v>0</v>
      </c>
      <c r="E14" s="12">
        <v>10</v>
      </c>
      <c r="G14" s="15">
        <v>0</v>
      </c>
      <c r="H14" s="15">
        <v>0</v>
      </c>
      <c r="I14" s="15">
        <v>1</v>
      </c>
    </row>
    <row r="15" spans="1:9" ht="18" customHeight="1">
      <c r="A15" s="8"/>
      <c r="B15" s="11">
        <v>15</v>
      </c>
      <c r="C15" s="12">
        <v>10</v>
      </c>
      <c r="D15" s="12">
        <v>0</v>
      </c>
      <c r="E15" s="12">
        <v>5</v>
      </c>
      <c r="G15" s="15">
        <v>1</v>
      </c>
      <c r="H15" s="15">
        <v>0</v>
      </c>
      <c r="I15" s="15">
        <v>0</v>
      </c>
    </row>
    <row r="16" spans="1:9" ht="18" customHeight="1">
      <c r="A16" s="8"/>
      <c r="B16" s="11">
        <v>3</v>
      </c>
      <c r="C16" s="12">
        <v>3</v>
      </c>
      <c r="D16" s="12">
        <v>0</v>
      </c>
      <c r="E16" s="12">
        <v>0</v>
      </c>
      <c r="G16" s="15">
        <v>0</v>
      </c>
      <c r="H16" s="15">
        <v>0</v>
      </c>
      <c r="I16" s="15">
        <v>0</v>
      </c>
    </row>
    <row r="17" spans="1:9" ht="18" customHeight="1">
      <c r="A17" s="8"/>
      <c r="B17" s="11">
        <v>12</v>
      </c>
      <c r="C17" s="12">
        <v>7</v>
      </c>
      <c r="D17" s="12">
        <v>0</v>
      </c>
      <c r="E17" s="12">
        <v>5</v>
      </c>
      <c r="G17" s="15">
        <v>1</v>
      </c>
      <c r="H17" s="15">
        <v>0</v>
      </c>
      <c r="I17" s="15">
        <v>0</v>
      </c>
    </row>
    <row r="18" spans="1:9" ht="18" customHeight="1">
      <c r="A18" s="8"/>
      <c r="B18" s="11">
        <v>15</v>
      </c>
      <c r="C18" s="12">
        <v>9</v>
      </c>
      <c r="D18" s="12">
        <v>0</v>
      </c>
      <c r="E18" s="12">
        <v>6</v>
      </c>
      <c r="G18" s="15">
        <v>0</v>
      </c>
      <c r="H18" s="15">
        <v>0</v>
      </c>
      <c r="I18" s="15">
        <v>1</v>
      </c>
    </row>
    <row r="19" spans="1:9" ht="18" customHeight="1">
      <c r="A19" s="8"/>
      <c r="B19" s="11">
        <v>15</v>
      </c>
      <c r="C19" s="12">
        <v>15</v>
      </c>
      <c r="D19" s="12">
        <v>0</v>
      </c>
      <c r="E19" s="12">
        <v>0</v>
      </c>
      <c r="G19" s="15">
        <v>1</v>
      </c>
      <c r="H19" s="15">
        <v>0</v>
      </c>
      <c r="I19" s="15">
        <v>0</v>
      </c>
    </row>
    <row r="20" spans="1:9" ht="18" customHeight="1">
      <c r="A20" s="8"/>
      <c r="B20" s="11">
        <v>12</v>
      </c>
      <c r="C20" s="12">
        <v>7</v>
      </c>
      <c r="D20" s="12">
        <v>0</v>
      </c>
      <c r="E20" s="12">
        <v>5</v>
      </c>
      <c r="G20" s="15">
        <v>0</v>
      </c>
      <c r="H20" s="15">
        <v>0</v>
      </c>
      <c r="I20" s="15">
        <v>0</v>
      </c>
    </row>
    <row r="21" spans="1:9" ht="18" customHeight="1">
      <c r="A21" s="8"/>
      <c r="B21" s="11">
        <v>12</v>
      </c>
      <c r="C21" s="12">
        <v>7</v>
      </c>
      <c r="D21" s="12">
        <v>1</v>
      </c>
      <c r="E21" s="12">
        <v>4</v>
      </c>
      <c r="G21" s="15">
        <v>1</v>
      </c>
      <c r="H21" s="15">
        <v>0</v>
      </c>
      <c r="I21" s="15">
        <v>0</v>
      </c>
    </row>
    <row r="22" spans="1:9" ht="18" customHeight="1">
      <c r="A22" s="8"/>
      <c r="B22" s="11">
        <v>15</v>
      </c>
      <c r="C22" s="12">
        <v>7</v>
      </c>
      <c r="D22" s="12">
        <v>0</v>
      </c>
      <c r="E22" s="12">
        <v>9</v>
      </c>
      <c r="G22" s="15">
        <v>0</v>
      </c>
      <c r="H22" s="15">
        <v>0</v>
      </c>
      <c r="I22" s="15">
        <v>1</v>
      </c>
    </row>
    <row r="23" spans="1:9" ht="18" customHeight="1">
      <c r="A23" s="8"/>
      <c r="B23" s="11">
        <v>15</v>
      </c>
      <c r="C23" s="12">
        <v>8</v>
      </c>
      <c r="D23" s="12">
        <v>0</v>
      </c>
      <c r="E23" s="12">
        <v>9</v>
      </c>
      <c r="G23" s="15">
        <v>0</v>
      </c>
      <c r="H23" s="15">
        <v>0</v>
      </c>
      <c r="I23" s="15">
        <v>1</v>
      </c>
    </row>
    <row r="24" spans="1:9" ht="18" customHeight="1">
      <c r="A24" s="8"/>
      <c r="B24" s="11">
        <v>11</v>
      </c>
      <c r="C24" s="12">
        <v>5</v>
      </c>
      <c r="D24" s="12">
        <v>0</v>
      </c>
      <c r="E24" s="12">
        <v>6</v>
      </c>
      <c r="G24" s="15">
        <v>0</v>
      </c>
      <c r="H24" s="15">
        <v>0</v>
      </c>
      <c r="I24" s="15">
        <v>0</v>
      </c>
    </row>
    <row r="25" spans="1:9" ht="18" customHeight="1">
      <c r="A25" s="8"/>
      <c r="B25" s="11">
        <v>12</v>
      </c>
      <c r="C25" s="12">
        <v>6</v>
      </c>
      <c r="D25" s="12">
        <v>1</v>
      </c>
      <c r="E25" s="12">
        <v>5</v>
      </c>
      <c r="G25" s="15">
        <v>0</v>
      </c>
      <c r="H25" s="15">
        <v>0</v>
      </c>
      <c r="I25" s="15">
        <v>0</v>
      </c>
    </row>
    <row r="26" spans="1:9" ht="18" customHeight="1">
      <c r="A26" s="8"/>
      <c r="B26" s="11">
        <v>12</v>
      </c>
      <c r="C26" s="12">
        <v>10</v>
      </c>
      <c r="D26" s="12">
        <v>0</v>
      </c>
      <c r="E26" s="12">
        <v>2</v>
      </c>
      <c r="G26" s="15">
        <v>1</v>
      </c>
      <c r="H26" s="15">
        <v>0</v>
      </c>
      <c r="I26" s="15">
        <v>0</v>
      </c>
    </row>
    <row r="27" spans="1:9" ht="18" customHeight="1">
      <c r="A27" s="8"/>
      <c r="B27" s="11">
        <v>15</v>
      </c>
      <c r="C27" s="12">
        <v>8</v>
      </c>
      <c r="D27" s="12">
        <v>1</v>
      </c>
      <c r="E27" s="12">
        <v>6</v>
      </c>
      <c r="G27" s="15">
        <v>1</v>
      </c>
      <c r="H27" s="15">
        <v>0</v>
      </c>
      <c r="I27" s="15">
        <v>0</v>
      </c>
    </row>
    <row r="28" spans="1:9" ht="18" customHeight="1">
      <c r="A28" s="8"/>
      <c r="B28" s="11">
        <v>14</v>
      </c>
      <c r="C28" s="12">
        <v>3</v>
      </c>
      <c r="D28" s="12">
        <v>2</v>
      </c>
      <c r="E28" s="12">
        <v>9</v>
      </c>
      <c r="G28" s="15">
        <v>0</v>
      </c>
      <c r="H28" s="15">
        <v>0</v>
      </c>
      <c r="I28" s="15">
        <v>1</v>
      </c>
    </row>
    <row r="29" spans="1:9" ht="18" customHeight="1">
      <c r="A29" s="8"/>
      <c r="B29" s="11">
        <v>12</v>
      </c>
      <c r="C29" s="12">
        <v>10</v>
      </c>
      <c r="D29" s="12">
        <v>0</v>
      </c>
      <c r="E29" s="12">
        <v>2</v>
      </c>
      <c r="G29" s="15">
        <v>0</v>
      </c>
      <c r="H29" s="15">
        <v>0</v>
      </c>
      <c r="I29" s="15">
        <v>0</v>
      </c>
    </row>
    <row r="30" spans="1:9" ht="18" customHeight="1">
      <c r="A30" s="8"/>
      <c r="B30" s="11">
        <v>15</v>
      </c>
      <c r="C30" s="12">
        <v>7</v>
      </c>
      <c r="D30" s="12">
        <v>0</v>
      </c>
      <c r="E30" s="12">
        <v>8</v>
      </c>
      <c r="G30" s="15">
        <v>0</v>
      </c>
      <c r="H30" s="15">
        <v>0</v>
      </c>
      <c r="I30" s="15">
        <v>1</v>
      </c>
    </row>
    <row r="31" spans="1:9" ht="15.5" customHeight="1">
      <c r="A31" s="8"/>
      <c r="B31" s="11">
        <v>14</v>
      </c>
      <c r="C31" s="12">
        <v>9</v>
      </c>
      <c r="D31" s="12">
        <v>1</v>
      </c>
      <c r="E31" s="12">
        <v>4</v>
      </c>
      <c r="G31" s="15">
        <v>0</v>
      </c>
      <c r="H31" s="15">
        <v>0</v>
      </c>
      <c r="I31" s="15">
        <v>1</v>
      </c>
    </row>
    <row r="32" spans="1:9" ht="15.5" customHeight="1">
      <c r="A32" s="8"/>
      <c r="B32" s="11">
        <v>7</v>
      </c>
      <c r="C32" s="12">
        <v>4</v>
      </c>
      <c r="D32" s="12">
        <v>0</v>
      </c>
      <c r="E32" s="12">
        <v>3</v>
      </c>
      <c r="G32" s="15">
        <v>0</v>
      </c>
      <c r="H32" s="15">
        <v>0</v>
      </c>
      <c r="I32" s="15">
        <v>0</v>
      </c>
    </row>
    <row r="33" spans="1:9" ht="15.5" customHeight="1">
      <c r="A33" s="8"/>
      <c r="B33" s="11">
        <v>15</v>
      </c>
      <c r="C33" s="12">
        <v>10</v>
      </c>
      <c r="D33" s="12">
        <v>0</v>
      </c>
      <c r="E33" s="12">
        <v>5</v>
      </c>
      <c r="G33" s="15">
        <v>0</v>
      </c>
      <c r="H33" s="15">
        <v>0</v>
      </c>
      <c r="I33" s="15">
        <v>1</v>
      </c>
    </row>
    <row r="34" spans="1:9" ht="15.5" customHeight="1">
      <c r="A34" s="8"/>
      <c r="B34" s="11">
        <v>15</v>
      </c>
      <c r="C34" s="12">
        <v>6</v>
      </c>
      <c r="D34" s="12">
        <v>0</v>
      </c>
      <c r="E34" s="12">
        <v>9</v>
      </c>
      <c r="G34" s="15">
        <v>0</v>
      </c>
      <c r="H34" s="15">
        <v>0</v>
      </c>
      <c r="I34" s="15">
        <v>1</v>
      </c>
    </row>
    <row r="35" spans="1:9" ht="15.5" customHeight="1">
      <c r="A35" s="8"/>
      <c r="B35" s="11">
        <v>12</v>
      </c>
      <c r="C35" s="12">
        <v>9</v>
      </c>
      <c r="D35" s="12">
        <v>0</v>
      </c>
      <c r="E35" s="12">
        <v>3</v>
      </c>
      <c r="G35" s="15">
        <v>1</v>
      </c>
      <c r="H35" s="15">
        <v>0</v>
      </c>
      <c r="I35" s="15">
        <v>0</v>
      </c>
    </row>
    <row r="36" spans="1:9" ht="15.5" customHeight="1">
      <c r="A36" s="8"/>
      <c r="B36" s="11">
        <v>14</v>
      </c>
      <c r="C36" s="12">
        <v>11</v>
      </c>
      <c r="D36" s="12">
        <v>4</v>
      </c>
      <c r="E36" s="12">
        <v>2</v>
      </c>
      <c r="G36" s="15">
        <v>1</v>
      </c>
      <c r="H36" s="15">
        <v>1</v>
      </c>
      <c r="I36" s="15">
        <v>0</v>
      </c>
    </row>
    <row r="37" spans="1:9" ht="15.5" customHeight="1">
      <c r="A37" s="8"/>
      <c r="B37" s="11">
        <v>12</v>
      </c>
      <c r="C37" s="12">
        <v>2</v>
      </c>
      <c r="D37" s="12">
        <v>0</v>
      </c>
      <c r="E37" s="12">
        <v>10</v>
      </c>
      <c r="G37" s="15">
        <v>0</v>
      </c>
      <c r="H37" s="15">
        <v>0</v>
      </c>
      <c r="I37" s="15">
        <v>1</v>
      </c>
    </row>
    <row r="38" spans="1:9" ht="15.5" customHeight="1">
      <c r="A38" s="8"/>
      <c r="B38" s="11">
        <v>13</v>
      </c>
      <c r="C38" s="12">
        <v>7</v>
      </c>
      <c r="D38" s="12">
        <v>2</v>
      </c>
      <c r="E38" s="12">
        <v>4</v>
      </c>
      <c r="G38" s="15">
        <v>0</v>
      </c>
      <c r="H38" s="15">
        <v>0</v>
      </c>
      <c r="I38" s="15">
        <v>1</v>
      </c>
    </row>
    <row r="39" spans="1:9" ht="15.5" customHeight="1">
      <c r="A39" s="8"/>
      <c r="B39" s="11">
        <v>12</v>
      </c>
      <c r="C39" s="12">
        <v>5</v>
      </c>
      <c r="D39" s="12">
        <v>0</v>
      </c>
      <c r="E39" s="12">
        <v>7</v>
      </c>
      <c r="G39" s="15">
        <v>0</v>
      </c>
      <c r="H39" s="15">
        <v>0</v>
      </c>
      <c r="I39" s="15">
        <v>0</v>
      </c>
    </row>
    <row r="40" spans="1:9" ht="15.5" customHeight="1">
      <c r="A40" s="8"/>
      <c r="B40" s="11">
        <v>15</v>
      </c>
      <c r="C40" s="12">
        <v>1</v>
      </c>
      <c r="D40" s="12">
        <v>1</v>
      </c>
      <c r="E40" s="12">
        <v>13</v>
      </c>
      <c r="G40" s="15">
        <v>0</v>
      </c>
      <c r="H40" s="15">
        <v>0</v>
      </c>
      <c r="I40" s="15">
        <v>1</v>
      </c>
    </row>
    <row r="41" spans="1:9" ht="15.5" customHeight="1">
      <c r="A41" s="8"/>
      <c r="B41" s="11">
        <v>7</v>
      </c>
      <c r="C41" s="12">
        <v>7</v>
      </c>
      <c r="D41" s="12">
        <v>0</v>
      </c>
      <c r="E41" s="12">
        <v>0</v>
      </c>
      <c r="G41" s="15">
        <v>0</v>
      </c>
      <c r="H41" s="15">
        <v>0</v>
      </c>
      <c r="I41" s="15">
        <v>0</v>
      </c>
    </row>
    <row r="42" spans="1:9" ht="15.5" customHeight="1">
      <c r="A42" s="8"/>
      <c r="B42" s="11">
        <v>7</v>
      </c>
      <c r="C42" s="12">
        <v>5</v>
      </c>
      <c r="D42" s="12">
        <v>0</v>
      </c>
      <c r="E42" s="12">
        <v>2</v>
      </c>
      <c r="G42" s="15">
        <v>0</v>
      </c>
      <c r="H42" s="15">
        <v>0</v>
      </c>
      <c r="I42" s="15">
        <v>1</v>
      </c>
    </row>
    <row r="43" spans="1:9" ht="15.5" customHeight="1">
      <c r="A43" s="8"/>
      <c r="B43" s="11">
        <v>9</v>
      </c>
      <c r="C43" s="12">
        <v>8</v>
      </c>
      <c r="D43" s="12">
        <v>0</v>
      </c>
      <c r="E43" s="12">
        <v>1</v>
      </c>
      <c r="G43" s="15">
        <v>0</v>
      </c>
      <c r="H43" s="15">
        <v>0</v>
      </c>
      <c r="I43" s="15">
        <v>0</v>
      </c>
    </row>
    <row r="44" spans="1:9" ht="15.5" customHeight="1">
      <c r="A44" s="8"/>
      <c r="B44" s="11">
        <v>14</v>
      </c>
      <c r="C44" s="12">
        <v>12</v>
      </c>
      <c r="D44" s="12">
        <v>0</v>
      </c>
      <c r="E44" s="12">
        <v>2</v>
      </c>
      <c r="G44" s="15">
        <v>1</v>
      </c>
      <c r="H44" s="15">
        <v>0</v>
      </c>
      <c r="I44" s="15">
        <v>0</v>
      </c>
    </row>
    <row r="45" spans="1:9" ht="15.5" customHeight="1">
      <c r="A45" s="8"/>
      <c r="B45" s="11">
        <v>15</v>
      </c>
      <c r="C45" s="12">
        <v>8</v>
      </c>
      <c r="D45" s="12">
        <v>0</v>
      </c>
      <c r="E45" s="12">
        <v>8</v>
      </c>
      <c r="G45" s="15">
        <v>0</v>
      </c>
      <c r="H45" s="15">
        <v>0</v>
      </c>
      <c r="I45" s="15">
        <v>1</v>
      </c>
    </row>
    <row r="46" spans="1:9" ht="15.5" customHeight="1">
      <c r="A46" s="8"/>
      <c r="B46" s="11">
        <v>15</v>
      </c>
      <c r="C46" s="12">
        <v>4</v>
      </c>
      <c r="D46" s="12">
        <v>0</v>
      </c>
      <c r="E46" s="12">
        <v>12</v>
      </c>
      <c r="G46" s="15">
        <v>0</v>
      </c>
      <c r="H46" s="15">
        <v>0</v>
      </c>
      <c r="I46" s="15">
        <v>1</v>
      </c>
    </row>
    <row r="47" spans="1:9" ht="15.5" customHeight="1">
      <c r="A47" s="8"/>
      <c r="B47" s="11">
        <v>14</v>
      </c>
      <c r="C47" s="12">
        <v>3</v>
      </c>
      <c r="D47" s="12">
        <v>0</v>
      </c>
      <c r="E47" s="12">
        <v>11</v>
      </c>
      <c r="G47" s="15">
        <v>1</v>
      </c>
      <c r="H47" s="15">
        <v>0</v>
      </c>
      <c r="I47" s="15">
        <v>0</v>
      </c>
    </row>
    <row r="48" spans="1:9" ht="15.5" customHeight="1">
      <c r="A48" s="8"/>
      <c r="B48" s="11">
        <v>5</v>
      </c>
      <c r="C48" s="12">
        <v>5</v>
      </c>
      <c r="D48" s="12">
        <v>0</v>
      </c>
      <c r="E48" s="12">
        <v>0</v>
      </c>
      <c r="G48" s="15">
        <v>0</v>
      </c>
      <c r="H48" s="15">
        <v>0</v>
      </c>
      <c r="I48" s="15">
        <v>0</v>
      </c>
    </row>
    <row r="49" spans="1:9" ht="15.5" customHeight="1">
      <c r="A49" s="8"/>
      <c r="B49" s="11">
        <v>1</v>
      </c>
      <c r="C49" s="12">
        <v>0</v>
      </c>
      <c r="D49" s="12">
        <v>0</v>
      </c>
      <c r="E49" s="12">
        <v>1</v>
      </c>
      <c r="G49" s="15">
        <v>0</v>
      </c>
      <c r="H49" s="15">
        <v>0</v>
      </c>
      <c r="I49" s="15">
        <v>0</v>
      </c>
    </row>
    <row r="50" spans="1:9" ht="15.5" customHeight="1">
      <c r="A50" s="8"/>
      <c r="B50" s="11">
        <v>15</v>
      </c>
      <c r="C50" s="12">
        <v>13</v>
      </c>
      <c r="D50" s="12">
        <v>1</v>
      </c>
      <c r="E50" s="12">
        <v>1</v>
      </c>
      <c r="G50" s="15">
        <v>1</v>
      </c>
      <c r="H50" s="15">
        <v>0</v>
      </c>
      <c r="I50" s="15">
        <v>0</v>
      </c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2025-11-24T21:56:16Z</dcterms:created>
  <dcterms:modified xsi:type="dcterms:W3CDTF">2026-03-25T22:34:19Z</dcterms:modified>
</cp:coreProperties>
</file>